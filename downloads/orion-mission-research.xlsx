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27f918a7cce4f4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99703f4a7d794c83"/>
    <x:sheet xmlns:r="http://schemas.openxmlformats.org/officeDocument/2006/relationships" name="Mission Data" sheetId="2" r:id="R2a4dd6de806d40df"/>
    <x:sheet xmlns:r="http://schemas.openxmlformats.org/officeDocument/2006/relationships" name="How to Use" sheetId="3" r:id="R9ef7e876788b486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"/>
    <x:numFmt numFmtId="201" formatCode="yyyy-mm-dd"/>
    <x:numFmt numFmtId="202" formatCode="#,##0"/>
    <x:numFmt numFmtId="203" formatCode="#,##0;[Red](#,##0);-"/>
    <x:numFmt numFmtId="204" formatCode="0.00&quot;x&quot;;(0.00&quot;x&quot;);-"/>
    <x:numFmt numFmtId="205" formatCode="0.00x"/>
    <x:numFmt numFmtId="206" formatCode="#,##0.0,,&quot;M&quot;;[Red](#,##0.0,,&quot;M&quot;)"/>
  </x:numFmts>
  <x:fonts count="6">
    <x:font>
      <x:sz val="11"/>
      <x:name val="Carlito"/>
    </x:font>
    <x:font>
      <x:b/>
      <x:sz val="15"/>
      <x:color rgb="FF17365D"/>
      <x:name val="Arial"/>
    </x:font>
    <x:font>
      <x:i/>
      <x:sz val="10"/>
      <x:color rgb="FF1F2937"/>
      <x:name val="Arial"/>
    </x:font>
    <x:font>
      <x:b/>
      <x:sz val="10"/>
      <x:color rgb="FFFFFFFF"/>
      <x:name val="Arial"/>
    </x:font>
    <x:font>
      <x:sz val="10"/>
      <x:color rgb="FF1F2937"/>
      <x:name val="Arial"/>
    </x:font>
    <x:font>
      <x:b/>
      <x:sz val="10"/>
      <x:color rgb="FF17365D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33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2" borderId="0" xfId="0" applyNumberFormat="1" applyFont="1" applyFill="1" applyBorder="1"/>
    <x:xf numFmtId="201" fontId="4" fillId="0" borderId="0" xfId="0" applyNumberFormat="1" applyFont="1" applyFill="1" applyBorder="1"/>
    <x:xf numFmtId="200" fontId="4" fillId="0" borderId="0" xfId="0" applyNumberFormat="1" applyFont="1" applyFill="1" applyBorder="1"/>
    <x:xf numFmtId="202" fontId="4" fillId="0" borderId="0" xfId="0" applyNumberFormat="1" applyFont="1" applyFill="1" applyBorder="1"/>
    <x:xf numFmtId="203" fontId="4" fillId="0" borderId="0" xfId="0" applyNumberFormat="1" applyFont="1" applyFill="1" applyBorder="1"/>
    <x:xf numFmtId="204" fontId="4" fillId="0" borderId="0" xfId="0" applyNumberFormat="1" applyFont="1" applyFill="1" applyBorder="1"/>
    <x:xf numFmtId="203" fontId="4" fillId="3" borderId="0" xfId="0" applyNumberFormat="1" applyFont="1" applyFill="1" applyBorder="1"/>
    <x:xf numFmtId="204" fontId="4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202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4" fillId="3" borderId="0" xfId="0" applyNumberFormat="1" applyFont="1" applyFill="1" applyBorder="1" applyAlignment="1">
      <x:alignment vertical="center"/>
    </x:xf>
    <x:xf numFmtId="204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205" fontId="4" fillId="0" borderId="0" xfId="0" applyNumberFormat="1" applyFont="1" applyFill="1" applyBorder="1"/>
    <x:xf numFmtId="206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deb9c753604fc2" /><Relationship Type="http://schemas.openxmlformats.org/officeDocument/2006/relationships/theme" Target="/xl/theme/theme1.xml" Id="Rc72d637af72743f0" /><Relationship Type="http://schemas.microsoft.com/office/2022/11/relationships/FeaturePropertyBag" Target="/xl/featurePropertyBag/featurePropertyBag.xml" Id="R3a6ef23d27184d2f" /><Relationship Type="http://schemas.openxmlformats.org/officeDocument/2006/relationships/sharedStrings" Target="/xl/sharedStrings.xml" Id="Rf891eed303244f2e" /><Relationship Type="http://schemas.openxmlformats.org/officeDocument/2006/relationships/worksheet" Target="/xl/worksheets/sheet1.xml" Id="R99703f4a7d794c83" /><Relationship Type="http://schemas.openxmlformats.org/officeDocument/2006/relationships/worksheet" Target="/xl/worksheets/sheet2.xml" Id="R2a4dd6de806d40df" /><Relationship Type="http://schemas.openxmlformats.org/officeDocument/2006/relationships/worksheet" Target="/xl/worksheets/sheet3.xml" Id="R9ef7e876788b486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MissionSamples" displayName="MissionSamples" ref="A1:AA101" headerRowCount="1" totalsRowCount="0" totalsRowShown="0">
  <x:autoFilter ref="A1:AA101"/>
  <x:tableColumns count="27">
    <x:tableColumn id="1" name="Record ID"/>
    <x:tableColumn id="2" name="Observed date"/>
    <x:tableColumn id="3" name="Scan reach (systems)"/>
    <x:tableColumn id="4" name="Source"/>
    <x:tableColumn id="5" name="Mission"/>
    <x:tableColumn id="6" name="Mode"/>
    <x:tableColumn id="7" name="Stars"/>
    <x:tableColumn id="8" name="Level"/>
    <x:tableColumn id="9" name="Mission type"/>
    <x:tableColumn id="10" name="Waves"/>
    <x:tableColumn id="11" name="Duration (minutes)"/>
    <x:tableColumn id="12" name="Mission distance"/>
    <x:tableColumn id="13" name="Reward basis"/>
    <x:tableColumn id="14" name="Metal reward"/>
    <x:tableColumn id="15" name="Crystal reward"/>
    <x:tableColumn id="16" name="Deuterium reward"/>
    <x:tableColumn id="17" name="Lithium reward"/>
    <x:tableColumn id="18" name="Reward is approximate"/>
    <x:tableColumn id="19" name="Claim cost (Lithium)"/>
    <x:tableColumn id="20" name="Claim cost is rounded"/>
    <x:tableColumn id="21" name="Other rewards excluded"/>
    <x:tableColumn id="22" name="Reward (MSU)"/>
    <x:tableColumn id="23" name="Claim cost (MSU)"/>
    <x:tableColumn id="24" name="Benchmark spread (MSU)"/>
    <x:tableColumn id="25" name="Reward / cost"/>
    <x:tableColumn id="26" name="Comparable resource value"/>
    <x:tableColumn id="27" name="Above benchmark?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e77b31e3d4c45c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7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19" hidden="0" customWidth="1"/>
    <x:col min="9" max="9" width="19" hidden="0" customWidth="1"/>
  </x:cols>
  <x:sheetData>
    <x:row r="1">
      <x:c r="A1" s="1" t="str">
        <x:v>Orion Mission Resource Research</x:v>
      </x:c>
      <x:c r="B1" s="1"/>
      <x:c r="C1" s="1"/>
      <x:c r="D1" s="1"/>
      <x:c r="E1" s="1"/>
      <x:c r="F1" s="1"/>
      <x:c r="G1" s="1"/>
      <x:c r="H1" s="1"/>
      <x:c r="I1" s="1"/>
    </x:row>
    <x:row r="2">
      <x:c r="A2" s="2" t="str">
        <x:v>Possible resource rewards have matched collected amounts in completed PTS tests so far. Ratios use 3:2:1 MSU values.</x:v>
      </x:c>
      <x:c r="B2" s="2"/>
      <x:c r="C2" s="2"/>
      <x:c r="D2" s="2"/>
      <x:c r="E2" s="2"/>
      <x:c r="F2" s="2"/>
      <x:c r="G2" s="2"/>
      <x:c r="H2" s="2"/>
      <x:c r="I2" s="2"/>
    </x:row>
    <x:row r="4" ht="34" customHeight="1">
      <x:c r="A4" s="6" t="str">
        <x:v>Scan reach (systems)</x:v>
      </x:c>
      <x:c r="B4" s="6" t="str">
        <x:v>Cards</x:v>
      </x:c>
      <x:c r="C4" s="6" t="str">
        <x:v>Comparable resource cards</x:v>
      </x:c>
      <x:c r="D4" s="6" t="str">
        <x:v>Above benchmark</x:v>
      </x:c>
      <x:c r="E4" s="6" t="str">
        <x:v>Below benchmark</x:v>
      </x:c>
      <x:c r="F4" s="6" t="str">
        <x:v>Lowest return / cost</x:v>
      </x:c>
      <x:c r="G4" s="6" t="str">
        <x:v>Highest return / cost</x:v>
      </x:c>
      <x:c r="H4" s="6" t="str">
        <x:v>Lowest spread (MSU)</x:v>
      </x:c>
      <x:c r="I4" s="6" t="str">
        <x:v>Highest spread (MSU)</x:v>
      </x:c>
    </x:row>
    <x:row r="5">
      <x:c r="A5" s="13" t="n">
        <x:v>10</x:v>
      </x:c>
      <x:c r="B5" s="14" t="n">
        <x:f>COUNTIF('Mission Data'!$C$2:$C$1000,A5)</x:f>
        <x:v>36</x:v>
      </x:c>
      <x:c r="C5" s="14" t="n">
        <x:f>COUNTIFS('Mission Data'!$C$2:$C$1000,A5,'Mission Data'!$Z$2:$Z$1000,"Yes")</x:f>
        <x:v>34</x:v>
      </x:c>
      <x:c r="D5" s="14" t="n">
        <x:f>COUNTIFS('Mission Data'!$C$2:$C$1000,A5,'Mission Data'!$Z$2:$Z$1000,"Yes",'Mission Data'!$X$2:$X$1000,"&gt;0")</x:f>
        <x:v>32</x:v>
      </x:c>
      <x:c r="E5" s="14" t="n">
        <x:f>COUNTIFS('Mission Data'!$C$2:$C$1000,A5,'Mission Data'!$Z$2:$Z$1000,"Yes",'Mission Data'!$X$2:$X$1000,"&lt;0")</x:f>
        <x:v>2</x:v>
      </x:c>
      <x:c r="F5" s="28" t="n">
        <x:f>_xlfn.MINIFS('Mission Data'!$Y$2:$Y$1000,'Mission Data'!$C$2:$C$1000,A5,'Mission Data'!$Z$2:$Z$1000,"Yes")</x:f>
        <x:v>0.7220070159785871</x:v>
      </x:c>
      <x:c r="G5" s="28" t="n">
        <x:f>_xlfn.MAXIFS('Mission Data'!$Y$2:$Y$1000,'Mission Data'!$C$2:$C$1000,A5,'Mission Data'!$Z$2:$Z$1000,"Yes")</x:f>
        <x:v>5.649927762383938</x:v>
      </x:c>
      <x:c r="H5" s="29" t="n">
        <x:f>_xlfn.MINIFS('Mission Data'!$X$2:$X$1000,'Mission Data'!$C$2:$C$1000,A5,'Mission Data'!$Z$2:$Z$1000,"Yes")</x:f>
        <x:v>-10282126.5</x:v>
      </x:c>
      <x:c r="I5" s="29" t="n">
        <x:f>_xlfn.MAXIFS('Mission Data'!$X$2:$X$1000,'Mission Data'!$C$2:$C$1000,A5,'Mission Data'!$Z$2:$Z$1000,"Yes")</x:f>
        <x:v>299113884</x:v>
      </x:c>
    </x:row>
    <x:row r="6">
      <x:c r="A6" s="13" t="n">
        <x:v>50</x:v>
      </x:c>
      <x:c r="B6" s="14" t="n">
        <x:f>COUNTIF('Mission Data'!$C$2:$C$1000,A6)</x:f>
        <x:v>32</x:v>
      </x:c>
      <x:c r="C6" s="14" t="n">
        <x:f>COUNTIFS('Mission Data'!$C$2:$C$1000,A6,'Mission Data'!$Z$2:$Z$1000,"Yes")</x:f>
        <x:v>26</x:v>
      </x:c>
      <x:c r="D6" s="14" t="n">
        <x:f>COUNTIFS('Mission Data'!$C$2:$C$1000,A6,'Mission Data'!$Z$2:$Z$1000,"Yes",'Mission Data'!$X$2:$X$1000,"&gt;0")</x:f>
        <x:v>23</x:v>
      </x:c>
      <x:c r="E6" s="14" t="n">
        <x:f>COUNTIFS('Mission Data'!$C$2:$C$1000,A6,'Mission Data'!$Z$2:$Z$1000,"Yes",'Mission Data'!$X$2:$X$1000,"&lt;0")</x:f>
        <x:v>3</x:v>
      </x:c>
      <x:c r="F6" s="28" t="n">
        <x:f>_xlfn.MINIFS('Mission Data'!$Y$2:$Y$1000,'Mission Data'!$C$2:$C$1000,A6,'Mission Data'!$Z$2:$Z$1000,"Yes")</x:f>
        <x:v>0.46209403984884917</x:v>
      </x:c>
      <x:c r="G6" s="28" t="n">
        <x:f>_xlfn.MAXIFS('Mission Data'!$Y$2:$Y$1000,'Mission Data'!$C$2:$C$1000,A6,'Mission Data'!$Z$2:$Z$1000,"Yes")</x:f>
        <x:v>8.621369147490276</x:v>
      </x:c>
      <x:c r="H6" s="29" t="n">
        <x:f>_xlfn.MINIFS('Mission Data'!$X$2:$X$1000,'Mission Data'!$C$2:$C$1000,A6,'Mission Data'!$Z$2:$Z$1000,"Yes")</x:f>
        <x:v>-18790131</x:v>
      </x:c>
      <x:c r="I6" s="29" t="n">
        <x:f>_xlfn.MAXIFS('Mission Data'!$X$2:$X$1000,'Mission Data'!$C$2:$C$1000,A6,'Mission Data'!$Z$2:$Z$1000,"Yes")</x:f>
        <x:v>487851460.5</x:v>
      </x:c>
    </x:row>
    <x:row r="7">
      <x:c r="A7" s="13" t="n">
        <x:v>150</x:v>
      </x:c>
      <x:c r="B7" s="14" t="n">
        <x:f>COUNTIF('Mission Data'!$C$2:$C$1000,A7)</x:f>
        <x:v>31</x:v>
      </x:c>
      <x:c r="C7" s="14" t="n">
        <x:f>COUNTIFS('Mission Data'!$C$2:$C$1000,A7,'Mission Data'!$Z$2:$Z$1000,"Yes")</x:f>
        <x:v>28</x:v>
      </x:c>
      <x:c r="D7" s="14" t="n">
        <x:f>COUNTIFS('Mission Data'!$C$2:$C$1000,A7,'Mission Data'!$Z$2:$Z$1000,"Yes",'Mission Data'!$X$2:$X$1000,"&gt;0")</x:f>
        <x:v>25</x:v>
      </x:c>
      <x:c r="E7" s="14" t="n">
        <x:f>COUNTIFS('Mission Data'!$C$2:$C$1000,A7,'Mission Data'!$Z$2:$Z$1000,"Yes",'Mission Data'!$X$2:$X$1000,"&lt;0")</x:f>
        <x:v>3</x:v>
      </x:c>
      <x:c r="F7" s="28" t="n">
        <x:f>_xlfn.MINIFS('Mission Data'!$Y$2:$Y$1000,'Mission Data'!$C$2:$C$1000,A7,'Mission Data'!$Z$2:$Z$1000,"Yes")</x:f>
        <x:v>0.6277453724270694</x:v>
      </x:c>
      <x:c r="G7" s="28" t="n">
        <x:f>_xlfn.MAXIFS('Mission Data'!$Y$2:$Y$1000,'Mission Data'!$C$2:$C$1000,A7,'Mission Data'!$Z$2:$Z$1000,"Yes")</x:f>
        <x:v>9.295034466964388</x:v>
      </x:c>
      <x:c r="H7" s="29" t="n">
        <x:f>_xlfn.MINIFS('Mission Data'!$X$2:$X$1000,'Mission Data'!$C$2:$C$1000,A7,'Mission Data'!$Z$2:$Z$1000,"Yes")</x:f>
        <x:v>-5027671</x:v>
      </x:c>
      <x:c r="I7" s="29" t="n">
        <x:f>_xlfn.MAXIFS('Mission Data'!$X$2:$X$1000,'Mission Data'!$C$2:$C$1000,A7,'Mission Data'!$Z$2:$Z$1000,"Yes")</x:f>
        <x:v>234327508.5</x:v>
      </x:c>
    </x:row>
    <x:row r="9">
      <x:c r="A9" s="4" t="str">
        <x:v>Current coverage</x:v>
      </x:c>
      <x:c r="B9" s="4" t="str">
        <x:v>Value</x:v>
      </x:c>
    </x:row>
    <x:row r="10">
      <x:c r="A10" s="9" t="str">
        <x:v>Total records</x:v>
      </x:c>
      <x:c r="B10" s="14" t="n">
        <x:f>COUNTA('Mission Data'!$A$2:$A$1000)</x:f>
        <x:v>100</x:v>
      </x:c>
    </x:row>
    <x:row r="11">
      <x:c r="A11" s="9" t="str">
        <x:v>Possible-reward cards</x:v>
      </x:c>
      <x:c r="B11" s="14" t="n">
        <x:f>COUNTIF('Mission Data'!$M$2:$M$1000,"possible")</x:f>
        <x:v>99</x:v>
      </x:c>
    </x:row>
    <x:row r="12">
      <x:c r="A12" s="9" t="str">
        <x:v>Collected-reward records</x:v>
      </x:c>
      <x:c r="B12" s="14" t="n">
        <x:f>COUNTIF('Mission Data'!$M$2:$M$1000,"collected")</x:f>
        <x:v>1</x:v>
      </x:c>
    </x:row>
    <x:row r="13">
      <x:c r="A13" s="9" t="str">
        <x:v>Unknown scan reach</x:v>
      </x:c>
      <x:c r="B13" s="14" t="n">
        <x:f>COUNTIF('Mission Data'!$C$2:$C$1000,"Unknown")</x:f>
        <x:v>1</x:v>
      </x:c>
    </x:row>
    <x:row r="15">
      <x:c r="A15" s="30" t="str">
        <x:v>Interpretation</x:v>
      </x:c>
    </x:row>
    <x:row r="16" ht="30" customHeight="1">
      <x:c r="A16" s="32" t="str">
        <x:v>Spread = reward MSU − Lithium cost valued at 3 MSU each. This is a comparison benchmark, not actual profit. Scan costs, time, fleet losses, player attacks on PvP missions, and non-resource rewards are excluded.</x:v>
      </x:c>
      <x:c r="B16" s="32"/>
      <x:c r="C16" s="32"/>
      <x:c r="D16" s="32"/>
      <x:c r="E16" s="32"/>
      <x:c r="F16" s="32"/>
      <x:c r="G16" s="32"/>
      <x:c r="H16" s="32"/>
      <x:c r="I16" s="32"/>
    </x:row>
    <x:row r="17" ht="30" customHeight="1">
      <x:c r="A17" s="32"/>
      <x:c r="B17" s="32"/>
      <x:c r="C17" s="32"/>
      <x:c r="D17" s="32"/>
      <x:c r="E17" s="32"/>
      <x:c r="F17" s="32"/>
      <x:c r="G17" s="32"/>
      <x:c r="H17" s="32"/>
      <x:c r="I17" s="32"/>
    </x:row>
    <x:row r="19">
      <x:c r="A19" s="30" t="str">
        <x:v>Lithium sourcing</x:v>
      </x:c>
    </x:row>
    <x:row r="20" ht="30" customHeight="1">
      <x:c r="A20" s="32" t="str">
        <x:v>3 MSU per Lithium is a comparison benchmark. Lithium made from surplus Food after population growth may have little marginal resource cost; conversion throughput and initial investment still matter.</x:v>
      </x:c>
      <x:c r="B20" s="32"/>
      <x:c r="C20" s="32"/>
      <x:c r="D20" s="32"/>
      <x:c r="E20" s="32"/>
      <x:c r="F20" s="32"/>
      <x:c r="G20" s="32"/>
      <x:c r="H20" s="32"/>
      <x:c r="I20" s="32"/>
    </x:row>
    <x:row r="21" ht="30" customHeight="1">
      <x:c r="A21" s="32"/>
      <x:c r="B21" s="32"/>
      <x:c r="C21" s="32"/>
      <x:c r="D21" s="32"/>
      <x:c r="E21" s="32"/>
      <x:c r="F21" s="32"/>
      <x:c r="G21" s="32"/>
      <x:c r="H21" s="32"/>
      <x:c r="I21" s="32"/>
    </x:row>
  </x:sheetData>
  <x:mergeCells>
    <x:mergeCell ref="A16:I17"/>
    <x:mergeCell ref="A20:I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1" topLeftCell="F2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9" hidden="0" customWidth="1"/>
    <x:col min="4" max="4" width="22" hidden="0" customWidth="1"/>
    <x:col min="5" max="5" width="30" hidden="0" customWidth="1"/>
    <x:col min="6" max="6" width="10" hidden="0" customWidth="1"/>
    <x:col min="7" max="7" width="8" hidden="0" customWidth="1"/>
    <x:col min="8" max="8" width="9" hidden="0" customWidth="1"/>
    <x:col min="9" max="9" width="15" hidden="0" customWidth="1"/>
    <x:col min="10" max="10" width="9" hidden="0" customWidth="1"/>
    <x:col min="11" max="11" width="19" hidden="0" customWidth="1"/>
    <x:col min="12" max="12" width="17" hidden="0" customWidth="1"/>
    <x:col min="13" max="13" width="14" hidden="0" customWidth="1"/>
    <x:col min="14" max="14" width="17" hidden="0" customWidth="1"/>
    <x:col min="15" max="15" width="18" hidden="0" customWidth="1"/>
    <x:col min="16" max="16" width="20" hidden="0" customWidth="1"/>
    <x:col min="17" max="17" width="17" hidden="0" customWidth="1"/>
    <x:col min="18" max="18" width="20" hidden="0" customWidth="1"/>
    <x:col min="19" max="19" width="21" hidden="0" customWidth="1"/>
    <x:col min="20" max="20" width="20" hidden="0" customWidth="1"/>
    <x:col min="21" max="21" width="22" hidden="0" customWidth="1"/>
    <x:col min="22" max="22" width="16" hidden="0" customWidth="1"/>
    <x:col min="23" max="23" width="18" hidden="0" customWidth="1"/>
    <x:col min="24" max="24" width="25" hidden="0" customWidth="1"/>
    <x:col min="25" max="25" width="17" hidden="0" customWidth="1"/>
    <x:col min="26" max="26" width="24" hidden="0" customWidth="1"/>
    <x:col min="27" max="27" width="19" hidden="0" customWidth="1"/>
  </x:cols>
  <x:sheetData>
    <x:row r="1" ht="40" customHeight="1">
      <x:c r="A1" s="6" t="str">
        <x:v>Record ID</x:v>
      </x:c>
      <x:c r="B1" s="6" t="str">
        <x:v>Observed date</x:v>
      </x:c>
      <x:c r="C1" s="6" t="str">
        <x:v>Scan reach (systems)</x:v>
      </x:c>
      <x:c r="D1" s="6" t="str">
        <x:v>Source</x:v>
      </x:c>
      <x:c r="E1" s="6" t="str">
        <x:v>Mission</x:v>
      </x:c>
      <x:c r="F1" s="6" t="str">
        <x:v>Mode</x:v>
      </x:c>
      <x:c r="G1" s="6" t="str">
        <x:v>Stars</x:v>
      </x:c>
      <x:c r="H1" s="6" t="str">
        <x:v>Level</x:v>
      </x:c>
      <x:c r="I1" s="6" t="str">
        <x:v>Mission type</x:v>
      </x:c>
      <x:c r="J1" s="6" t="str">
        <x:v>Waves</x:v>
      </x:c>
      <x:c r="K1" s="6" t="str">
        <x:v>Duration (minutes)</x:v>
      </x:c>
      <x:c r="L1" s="6" t="str">
        <x:v>Mission distance</x:v>
      </x:c>
      <x:c r="M1" s="6" t="str">
        <x:v>Reward basis</x:v>
      </x:c>
      <x:c r="N1" s="6" t="str">
        <x:v>Metal reward</x:v>
      </x:c>
      <x:c r="O1" s="6" t="str">
        <x:v>Crystal reward</x:v>
      </x:c>
      <x:c r="P1" s="6" t="str">
        <x:v>Deuterium reward</x:v>
      </x:c>
      <x:c r="Q1" s="6" t="str">
        <x:v>Lithium reward</x:v>
      </x:c>
      <x:c r="R1" s="6" t="str">
        <x:v>Reward is approximate</x:v>
      </x:c>
      <x:c r="S1" s="6" t="str">
        <x:v>Claim cost (Lithium)</x:v>
      </x:c>
      <x:c r="T1" s="6" t="str">
        <x:v>Claim cost is rounded</x:v>
      </x:c>
      <x:c r="U1" s="6" t="str">
        <x:v>Other rewards excluded</x:v>
      </x:c>
      <x:c r="V1" s="6" t="str">
        <x:v>Reward (MSU)</x:v>
      </x:c>
      <x:c r="W1" s="6" t="str">
        <x:v>Claim cost (MSU)</x:v>
      </x:c>
      <x:c r="X1" s="6" t="str">
        <x:v>Benchmark spread (MSU)</x:v>
      </x:c>
      <x:c r="Y1" s="6" t="str">
        <x:v>Reward / cost</x:v>
      </x:c>
      <x:c r="Z1" s="6" t="str">
        <x:v>Comparable resource value</x:v>
      </x:c>
      <x:c r="AA1" s="6" t="str">
        <x:v>Above benchmark?</x:v>
      </x:c>
    </x:row>
    <x:row r="2">
      <x:c r="A2" s="20" t="str">
        <x:v>rescue-486-pvp-5star</x:v>
      </x:c>
      <x:c r="B2" s="21" t="n">
        <x:v>46296</x:v>
      </x:c>
      <x:c r="C2" s="22" t="n">
        <x:v>10</x:v>
      </x:c>
      <x:c r="D2" s="20" t="str">
        <x:v>PTS scan card</x:v>
      </x:c>
      <x:c r="E2" s="20" t="str">
        <x:v>Rescue</x:v>
      </x:c>
      <x:c r="F2" s="20" t="str">
        <x:v>PvP</x:v>
      </x:c>
      <x:c r="G2" s="23" t="n">
        <x:v>5</x:v>
      </x:c>
      <x:c r="H2" s="23" t="n">
        <x:v>486</x:v>
      </x:c>
      <x:c r="I2" s="23" t="str">
        <x:v>Combat</x:v>
      </x:c>
      <x:c r="J2" s="23" t="n">
        <x:v>4</x:v>
      </x:c>
      <x:c r="K2" s="23" t="n">
        <x:v>78</x:v>
      </x:c>
      <x:c r="L2" s="23" t="n">
        <x:v>3175</x:v>
      </x:c>
      <x:c r="M2" s="20" t="str">
        <x:v>possible</x:v>
      </x:c>
      <x:c r="N2" s="23" t="n">
        <x:v>16693767</x:v>
      </x:c>
      <x:c r="O2" s="23" t="n">
        <x:v>7432875</x:v>
      </x:c>
      <x:c r="P2" s="23" t="n">
        <x:v>2493776</x:v>
      </x:c>
      <x:c r="Q2" s="23" t="n">
        <x:v>0</x:v>
      </x:c>
      <x:c r="R2" s="24" t="b">
        <x:v>1</x:v>
      </x:c>
      <x:c r="S2" s="23" t="n">
        <x:v>13657000</x:v>
      </x:c>
      <x:c r="T2" s="24" t="b">
        <x:v>1</x:v>
      </x:c>
      <x:c r="U2" s="24" t="b">
        <x:v>1</x:v>
      </x:c>
      <x:c r="V2" s="25" t="n">
        <x:f>N2+1.5*O2+3*P2+3*Q2</x:f>
        <x:v>35324407.5</x:v>
      </x:c>
      <x:c r="W2" s="25" t="n">
        <x:f>S2*3</x:f>
        <x:v>40971000</x:v>
      </x:c>
      <x:c r="X2" s="25" t="n">
        <x:f>IF(Z2="No",0,V2-W2)</x:f>
        <x:v>-5646592.5</x:v>
      </x:c>
      <x:c r="Y2" s="26" t="n">
        <x:f>IF(Z2="No",0,IFERROR(V2/W2,0))</x:f>
        <x:v>0.862180749798638</x:v>
      </x:c>
      <x:c r="Z2" s="27" t="str">
        <x:f>IF(AND(U2=TRUE,V2=0),"No","Yes")</x:f>
        <x:v>Yes</x:v>
      </x:c>
      <x:c r="AA2" s="27" t="str">
        <x:f>IF(Z2="No","Not comparable",IF(X2&gt;0,"Yes","No"))</x:f>
        <x:v>No</x:v>
      </x:c>
    </x:row>
    <x:row r="3">
      <x:c r="A3" s="20" t="str">
        <x:v>resource-deuterium-578-pve-2star</x:v>
      </x:c>
      <x:c r="B3" s="21" t="n">
        <x:v>46296</x:v>
      </x:c>
      <x:c r="C3" s="22" t="n">
        <x:v>10</x:v>
      </x:c>
      <x:c r="D3" s="20" t="str">
        <x:v>PTS scan card</x:v>
      </x:c>
      <x:c r="E3" s="20" t="str">
        <x:v>Resource: Deuterium</x:v>
      </x:c>
      <x:c r="F3" s="20" t="str">
        <x:v>PvE</x:v>
      </x:c>
      <x:c r="G3" s="23" t="n">
        <x:v>2</x:v>
      </x:c>
      <x:c r="H3" s="23" t="n">
        <x:v>578</x:v>
      </x:c>
      <x:c r="I3" s="23" t="str">
        <x:v>Combat</x:v>
      </x:c>
      <x:c r="J3" s="23" t="n">
        <x:v>5</x:v>
      </x:c>
      <x:c r="K3" s="23" t="n">
        <x:v>88</x:v>
      </x:c>
      <x:c r="L3" s="23" t="n">
        <x:v>3365</x:v>
      </x:c>
      <x:c r="M3" s="20" t="str">
        <x:v>possible</x:v>
      </x:c>
      <x:c r="N3" s="23" t="n">
        <x:v>0</x:v>
      </x:c>
      <x:c r="O3" s="23" t="n">
        <x:v>0</x:v>
      </x:c>
      <x:c r="P3" s="23" t="n">
        <x:v>15400015</x:v>
      </x:c>
      <x:c r="Q3" s="23" t="n">
        <x:v>0</x:v>
      </x:c>
      <x:c r="R3" s="24" t="b">
        <x:v>1</x:v>
      </x:c>
      <x:c r="S3" s="23" t="n">
        <x:v>8121000</x:v>
      </x:c>
      <x:c r="T3" s="24" t="b">
        <x:v>1</x:v>
      </x:c>
      <x:c r="U3" s="24" t="b">
        <x:v>1</x:v>
      </x:c>
      <x:c r="V3" s="25" t="n">
        <x:f>N3+1.5*O3+3*P3+3*Q3</x:f>
        <x:v>46200045</x:v>
      </x:c>
      <x:c r="W3" s="25" t="n">
        <x:f>S3*3</x:f>
        <x:v>24363000</x:v>
      </x:c>
      <x:c r="X3" s="25" t="n">
        <x:f>IF(Z3="No",0,V3-W3)</x:f>
        <x:v>21837045</x:v>
      </x:c>
      <x:c r="Y3" s="26" t="n">
        <x:f>IF(Z3="No",0,IFERROR(V3/W3,0))</x:f>
        <x:v>1.8963200344785125</x:v>
      </x:c>
      <x:c r="Z3" s="27" t="str">
        <x:f>IF(AND(U3=TRUE,V3=0),"No","Yes")</x:f>
        <x:v>Yes</x:v>
      </x:c>
      <x:c r="AA3" s="27" t="str">
        <x:f>IF(Z3="No","Not comparable",IF(X3&gt;0,"Yes","No"))</x:f>
        <x:v>Yes</x:v>
      </x:c>
    </x:row>
    <x:row r="4">
      <x:c r="A4" s="20" t="str">
        <x:v>medium-alien-encounter-673-pvp-3star</x:v>
      </x:c>
      <x:c r="B4" s="21" t="n">
        <x:v>46296</x:v>
      </x:c>
      <x:c r="C4" s="22" t="n">
        <x:v>10</x:v>
      </x:c>
      <x:c r="D4" s="20" t="str">
        <x:v>PTS scan card</x:v>
      </x:c>
      <x:c r="E4" s="20" t="str">
        <x:v>Medium Alien Encounter</x:v>
      </x:c>
      <x:c r="F4" s="20" t="str">
        <x:v>PvP</x:v>
      </x:c>
      <x:c r="G4" s="23" t="n">
        <x:v>3</x:v>
      </x:c>
      <x:c r="H4" s="23" t="n">
        <x:v>673</x:v>
      </x:c>
      <x:c r="I4" s="23" t="str">
        <x:v>Combat</x:v>
      </x:c>
      <x:c r="J4" s="23" t="n">
        <x:v>2</x:v>
      </x:c>
      <x:c r="K4" s="23" t="n">
        <x:v>39</x:v>
      </x:c>
      <x:c r="L4" s="23" t="n">
        <x:v>2985</x:v>
      </x:c>
      <x:c r="M4" s="20" t="str">
        <x:v>possible</x:v>
      </x:c>
      <x:c r="N4" s="23" t="n">
        <x:v>11575668</x:v>
      </x:c>
      <x:c r="O4" s="23" t="n">
        <x:v>5154049</x:v>
      </x:c>
      <x:c r="P4" s="23" t="n">
        <x:v>11901075</x:v>
      </x:c>
      <x:c r="Q4" s="23" t="n">
        <x:v>0</x:v>
      </x:c>
      <x:c r="R4" s="24" t="b">
        <x:v>1</x:v>
      </x:c>
      <x:c r="S4" s="23" t="n">
        <x:v>5673000</x:v>
      </x:c>
      <x:c r="T4" s="24" t="b">
        <x:v>1</x:v>
      </x:c>
      <x:c r="U4" s="24" t="b">
        <x:v>1</x:v>
      </x:c>
      <x:c r="V4" s="25" t="n">
        <x:f>N4+1.5*O4+3*P4+3*Q4</x:f>
        <x:v>55009966.5</x:v>
      </x:c>
      <x:c r="W4" s="25" t="n">
        <x:f>S4*3</x:f>
        <x:v>17019000</x:v>
      </x:c>
      <x:c r="X4" s="25" t="n">
        <x:f>IF(Z4="No",0,V4-W4)</x:f>
        <x:v>37990966.5</x:v>
      </x:c>
      <x:c r="Y4" s="26" t="n">
        <x:f>IF(Z4="No",0,IFERROR(V4/W4,0))</x:f>
        <x:v>3.23226784769963</x:v>
      </x:c>
      <x:c r="Z4" s="27" t="str">
        <x:f>IF(AND(U4=TRUE,V4=0),"No","Yes")</x:f>
        <x:v>Yes</x:v>
      </x:c>
      <x:c r="AA4" s="27" t="str">
        <x:f>IF(Z4="No","Not comparable",IF(X4&gt;0,"Yes","No"))</x:f>
        <x:v>Yes</x:v>
      </x:c>
    </x:row>
    <x:row r="5">
      <x:c r="A5" s="20" t="str">
        <x:v>delivery-metal-575-pve-3star</x:v>
      </x:c>
      <x:c r="B5" s="21" t="n">
        <x:v>46296</x:v>
      </x:c>
      <x:c r="C5" s="22" t="n">
        <x:v>10</x:v>
      </x:c>
      <x:c r="D5" s="20" t="str">
        <x:v>PTS scan card</x:v>
      </x:c>
      <x:c r="E5" s="20" t="str">
        <x:v>Delivery: Metal</x:v>
      </x:c>
      <x:c r="F5" s="20" t="str">
        <x:v>PvE</x:v>
      </x:c>
      <x:c r="G5" s="23" t="n">
        <x:v>3</x:v>
      </x:c>
      <x:c r="H5" s="23" t="n">
        <x:v>575</x:v>
      </x:c>
      <x:c r="I5" s="23" t="str">
        <x:v>Delivery</x:v>
      </x:c>
      <x:c r="J5" s="23" t="n">
        <x:v>4</x:v>
      </x:c>
      <x:c r="K5" s="23" t="n">
        <x:v>85</x:v>
      </x:c>
      <x:c r="L5" s="23" t="n">
        <x:v>3270</x:v>
      </x:c>
      <x:c r="M5" s="20" t="str">
        <x:v>possible</x:v>
      </x:c>
      <x:c r="N5" s="23" t="n">
        <x:v>41081772</x:v>
      </x:c>
      <x:c r="O5" s="23" t="n">
        <x:v>0</x:v>
      </x:c>
      <x:c r="P5" s="23" t="n">
        <x:v>0</x:v>
      </x:c>
      <x:c r="Q5" s="23" t="n">
        <x:v>0</x:v>
      </x:c>
      <x:c r="R5" s="24" t="b">
        <x:v>1</x:v>
      </x:c>
      <x:c r="S5" s="23" t="n">
        <x:v>9695000</x:v>
      </x:c>
      <x:c r="T5" s="24" t="b">
        <x:v>1</x:v>
      </x:c>
      <x:c r="U5" s="24" t="b">
        <x:v>1</x:v>
      </x:c>
      <x:c r="V5" s="25" t="n">
        <x:f>N5+1.5*O5+3*P5+3*Q5</x:f>
        <x:v>41081772</x:v>
      </x:c>
      <x:c r="W5" s="25" t="n">
        <x:f>S5*3</x:f>
        <x:v>29085000</x:v>
      </x:c>
      <x:c r="X5" s="25" t="n">
        <x:f>IF(Z5="No",0,V5-W5)</x:f>
        <x:v>11996772</x:v>
      </x:c>
      <x:c r="Y5" s="26" t="n">
        <x:f>IF(Z5="No",0,IFERROR(V5/W5,0))</x:f>
        <x:v>1.412472821041774</x:v>
      </x:c>
      <x:c r="Z5" s="27" t="str">
        <x:f>IF(AND(U5=TRUE,V5=0),"No","Yes")</x:f>
        <x:v>Yes</x:v>
      </x:c>
      <x:c r="AA5" s="27" t="str">
        <x:f>IF(Z5="No","Not comparable",IF(X5&gt;0,"Yes","No"))</x:f>
        <x:v>Yes</x:v>
      </x:c>
    </x:row>
    <x:row r="6">
      <x:c r="A6" s="20" t="str">
        <x:v>rescue-692-pvp-2star</x:v>
      </x:c>
      <x:c r="B6" s="21" t="n">
        <x:v>46296</x:v>
      </x:c>
      <x:c r="C6" s="22" t="n">
        <x:v>10</x:v>
      </x:c>
      <x:c r="D6" s="20" t="str">
        <x:v>PTS scan card</x:v>
      </x:c>
      <x:c r="E6" s="20" t="str">
        <x:v>Rescue</x:v>
      </x:c>
      <x:c r="F6" s="20" t="str">
        <x:v>PvP</x:v>
      </x:c>
      <x:c r="G6" s="23" t="n">
        <x:v>2</x:v>
      </x:c>
      <x:c r="H6" s="23" t="n">
        <x:v>692</x:v>
      </x:c>
      <x:c r="I6" s="23" t="str">
        <x:v>Combat</x:v>
      </x:c>
      <x:c r="J6" s="23" t="n">
        <x:v>3</x:v>
      </x:c>
      <x:c r="K6" s="23" t="n">
        <x:v>53</x:v>
      </x:c>
      <x:c r="L6" s="23" t="n">
        <x:v>2795</x:v>
      </x:c>
      <x:c r="M6" s="20" t="str">
        <x:v>possible</x:v>
      </x:c>
      <x:c r="N6" s="23" t="n">
        <x:v>9331818</x:v>
      </x:c>
      <x:c r="O6" s="23" t="n">
        <x:v>4154978</x:v>
      </x:c>
      <x:c r="P6" s="23" t="n">
        <x:v>1394021</x:v>
      </x:c>
      <x:c r="Q6" s="23" t="n">
        <x:v>0</x:v>
      </x:c>
      <x:c r="R6" s="24" t="b">
        <x:v>1</x:v>
      </x:c>
      <x:c r="S6" s="23" t="n">
        <x:v>5834000</x:v>
      </x:c>
      <x:c r="T6" s="24" t="b">
        <x:v>1</x:v>
      </x:c>
      <x:c r="U6" s="24" t="b">
        <x:v>1</x:v>
      </x:c>
      <x:c r="V6" s="25" t="n">
        <x:f>N6+1.5*O6+3*P6+3*Q6</x:f>
        <x:v>19746348</x:v>
      </x:c>
      <x:c r="W6" s="25" t="n">
        <x:f>S6*3</x:f>
        <x:v>17502000</x:v>
      </x:c>
      <x:c r="X6" s="25" t="n">
        <x:f>IF(Z6="No",0,V6-W6)</x:f>
        <x:v>2244348</x:v>
      </x:c>
      <x:c r="Y6" s="26" t="n">
        <x:f>IF(Z6="No",0,IFERROR(V6/W6,0))</x:f>
        <x:v>1.128233801851217</x:v>
      </x:c>
      <x:c r="Z6" s="27" t="str">
        <x:f>IF(AND(U6=TRUE,V6=0),"No","Yes")</x:f>
        <x:v>Yes</x:v>
      </x:c>
      <x:c r="AA6" s="27" t="str">
        <x:f>IF(Z6="No","Not comparable",IF(X6&gt;0,"Yes","No"))</x:f>
        <x:v>Yes</x:v>
      </x:c>
    </x:row>
    <x:row r="7">
      <x:c r="A7" s="20" t="str">
        <x:v>delivery-crystal-568-pve-3star</x:v>
      </x:c>
      <x:c r="B7" s="21" t="n">
        <x:v>46296</x:v>
      </x:c>
      <x:c r="C7" s="22" t="n">
        <x:v>10</x:v>
      </x:c>
      <x:c r="D7" s="20" t="str">
        <x:v>PTS scan card</x:v>
      </x:c>
      <x:c r="E7" s="20" t="str">
        <x:v>Delivery: Crystal</x:v>
      </x:c>
      <x:c r="F7" s="20" t="str">
        <x:v>PvE</x:v>
      </x:c>
      <x:c r="G7" s="23" t="n">
        <x:v>3</x:v>
      </x:c>
      <x:c r="H7" s="23" t="n">
        <x:v>568</x:v>
      </x:c>
      <x:c r="I7" s="23" t="str">
        <x:v>Delivery</x:v>
      </x:c>
      <x:c r="J7" s="23" t="n">
        <x:v>1</x:v>
      </x:c>
      <x:c r="K7" s="23" t="n">
        <x:v>23</x:v>
      </x:c>
      <x:c r="L7" s="23" t="n">
        <x:v>2795</x:v>
      </x:c>
      <x:c r="M7" s="20" t="str">
        <x:v>possible</x:v>
      </x:c>
      <x:c r="N7" s="23" t="n">
        <x:v>0</x:v>
      </x:c>
      <x:c r="O7" s="23" t="n">
        <x:v>6464050</x:v>
      </x:c>
      <x:c r="P7" s="23" t="n">
        <x:v>0</x:v>
      </x:c>
      <x:c r="Q7" s="23" t="n">
        <x:v>0</x:v>
      </x:c>
      <x:c r="R7" s="24" t="b">
        <x:v>1</x:v>
      </x:c>
      <x:c r="S7" s="23" t="n">
        <x:v>2394000</x:v>
      </x:c>
      <x:c r="T7" s="24" t="b">
        <x:v>1</x:v>
      </x:c>
      <x:c r="U7" s="24" t="b">
        <x:v>0</x:v>
      </x:c>
      <x:c r="V7" s="25" t="n">
        <x:f>N7+1.5*O7+3*P7+3*Q7</x:f>
        <x:v>9696075</x:v>
      </x:c>
      <x:c r="W7" s="25" t="n">
        <x:f>S7*3</x:f>
        <x:v>7182000</x:v>
      </x:c>
      <x:c r="X7" s="25" t="n">
        <x:f>IF(Z7="No",0,V7-W7)</x:f>
        <x:v>2514075</x:v>
      </x:c>
      <x:c r="Y7" s="26" t="n">
        <x:f>IF(Z7="No",0,IFERROR(V7/W7,0))</x:f>
        <x:v>1.3500522138680033</x:v>
      </x:c>
      <x:c r="Z7" s="27" t="str">
        <x:f>IF(AND(U7=TRUE,V7=0),"No","Yes")</x:f>
        <x:v>Yes</x:v>
      </x:c>
      <x:c r="AA7" s="27" t="str">
        <x:f>IF(Z7="No","Not comparable",IF(X7&gt;0,"Yes","No"))</x:f>
        <x:v>Yes</x:v>
      </x:c>
    </x:row>
    <x:row r="8">
      <x:c r="A8" s="20" t="str">
        <x:v>medium-pirate-encounter-585-pve-3star</x:v>
      </x:c>
      <x:c r="B8" s="21" t="n">
        <x:v>46296</x:v>
      </x:c>
      <x:c r="C8" s="22" t="n">
        <x:v>10</x:v>
      </x:c>
      <x:c r="D8" s="20" t="str">
        <x:v>PTS scan card</x:v>
      </x:c>
      <x:c r="E8" s="20" t="str">
        <x:v>Medium Pirate Encounter</x:v>
      </x:c>
      <x:c r="F8" s="20" t="str">
        <x:v>PvE</x:v>
      </x:c>
      <x:c r="G8" s="23" t="n">
        <x:v>3</x:v>
      </x:c>
      <x:c r="H8" s="23" t="n">
        <x:v>585</x:v>
      </x:c>
      <x:c r="I8" s="23" t="str">
        <x:v>Combat</x:v>
      </x:c>
      <x:c r="J8" s="23" t="n">
        <x:v>5</x:v>
      </x:c>
      <x:c r="K8" s="23" t="n">
        <x:v>94</x:v>
      </x:c>
      <x:c r="L8" s="23" t="n">
        <x:v>2890</x:v>
      </x:c>
      <x:c r="M8" s="20" t="str">
        <x:v>possible</x:v>
      </x:c>
      <x:c r="N8" s="23" t="n">
        <x:v>0</x:v>
      </x:c>
      <x:c r="O8" s="23" t="n">
        <x:v>7731957</x:v>
      </x:c>
      <x:c r="P8" s="23" t="n">
        <x:v>5035646</x:v>
      </x:c>
      <x:c r="Q8" s="23" t="n">
        <x:v>0</x:v>
      </x:c>
      <x:c r="R8" s="24" t="b">
        <x:v>1</x:v>
      </x:c>
      <x:c r="S8" s="23" t="n">
        <x:v>12329000</x:v>
      </x:c>
      <x:c r="T8" s="24" t="b">
        <x:v>1</x:v>
      </x:c>
      <x:c r="U8" s="24" t="b">
        <x:v>1</x:v>
      </x:c>
      <x:c r="V8" s="25" t="n">
        <x:f>N8+1.5*O8+3*P8+3*Q8</x:f>
        <x:v>26704873.5</x:v>
      </x:c>
      <x:c r="W8" s="25" t="n">
        <x:f>S8*3</x:f>
        <x:v>36987000</x:v>
      </x:c>
      <x:c r="X8" s="25" t="n">
        <x:f>IF(Z8="No",0,V8-W8)</x:f>
        <x:v>-10282126.5</x:v>
      </x:c>
      <x:c r="Y8" s="26" t="n">
        <x:f>IF(Z8="No",0,IFERROR(V8/W8,0))</x:f>
        <x:v>0.7220070159785871</x:v>
      </x:c>
      <x:c r="Z8" s="27" t="str">
        <x:f>IF(AND(U8=TRUE,V8=0),"No","Yes")</x:f>
        <x:v>Yes</x:v>
      </x:c>
      <x:c r="AA8" s="27" t="str">
        <x:f>IF(Z8="No","Not comparable",IF(X8&gt;0,"Yes","No"))</x:f>
        <x:v>No</x:v>
      </x:c>
    </x:row>
    <x:row r="9">
      <x:c r="A9" s="20" t="str">
        <x:v>small-alien-encounter-629-pvp-1star</x:v>
      </x:c>
      <x:c r="B9" s="21" t="n">
        <x:v>46296</x:v>
      </x:c>
      <x:c r="C9" s="22" t="n">
        <x:v>10</x:v>
      </x:c>
      <x:c r="D9" s="20" t="str">
        <x:v>PTS scan card</x:v>
      </x:c>
      <x:c r="E9" s="20" t="str">
        <x:v>Small Alien Encounter</x:v>
      </x:c>
      <x:c r="F9" s="20" t="str">
        <x:v>PvP</x:v>
      </x:c>
      <x:c r="G9" s="23" t="n">
        <x:v>1</x:v>
      </x:c>
      <x:c r="H9" s="23" t="n">
        <x:v>629</x:v>
      </x:c>
      <x:c r="I9" s="23" t="str">
        <x:v>Combat</x:v>
      </x:c>
      <x:c r="J9" s="23" t="n">
        <x:v>5</x:v>
      </x:c>
      <x:c r="K9" s="23" t="n">
        <x:v>95</x:v>
      </x:c>
      <x:c r="L9" s="23" t="n">
        <x:v>3650</x:v>
      </x:c>
      <x:c r="M9" s="20" t="str">
        <x:v>possible</x:v>
      </x:c>
      <x:c r="N9" s="23" t="n">
        <x:v>0</x:v>
      </x:c>
      <x:c r="O9" s="23" t="n">
        <x:v>9501146</x:v>
      </x:c>
      <x:c r="P9" s="23" t="n">
        <x:v>6187878</x:v>
      </x:c>
      <x:c r="Q9" s="23" t="n">
        <x:v>0</x:v>
      </x:c>
      <x:c r="R9" s="24" t="b">
        <x:v>1</x:v>
      </x:c>
      <x:c r="S9" s="23" t="n">
        <x:v>4419000</x:v>
      </x:c>
      <x:c r="T9" s="24" t="b">
        <x:v>1</x:v>
      </x:c>
      <x:c r="U9" s="24" t="b">
        <x:v>1</x:v>
      </x:c>
      <x:c r="V9" s="25" t="n">
        <x:f>N9+1.5*O9+3*P9+3*Q9</x:f>
        <x:v>32815353</x:v>
      </x:c>
      <x:c r="W9" s="25" t="n">
        <x:f>S9*3</x:f>
        <x:v>13257000</x:v>
      </x:c>
      <x:c r="X9" s="25" t="n">
        <x:f>IF(Z9="No",0,V9-W9)</x:f>
        <x:v>19558353</x:v>
      </x:c>
      <x:c r="Y9" s="26" t="n">
        <x:f>IF(Z9="No",0,IFERROR(V9/W9,0))</x:f>
        <x:v>2.47532269744286</x:v>
      </x:c>
      <x:c r="Z9" s="27" t="str">
        <x:f>IF(AND(U9=TRUE,V9=0),"No","Yes")</x:f>
        <x:v>Yes</x:v>
      </x:c>
      <x:c r="AA9" s="27" t="str">
        <x:f>IF(Z9="No","Not comparable",IF(X9&gt;0,"Yes","No"))</x:f>
        <x:v>Yes</x:v>
      </x:c>
    </x:row>
    <x:row r="10">
      <x:c r="A10" s="20" t="str">
        <x:v>medium-alien-encounter-478-pve-4star</x:v>
      </x:c>
      <x:c r="B10" s="21" t="n">
        <x:v>46296</x:v>
      </x:c>
      <x:c r="C10" s="22" t="n">
        <x:v>10</x:v>
      </x:c>
      <x:c r="D10" s="20" t="str">
        <x:v>PTS scan card</x:v>
      </x:c>
      <x:c r="E10" s="20" t="str">
        <x:v>Medium Alien Encounter</x:v>
      </x:c>
      <x:c r="F10" s="20" t="str">
        <x:v>PvE</x:v>
      </x:c>
      <x:c r="G10" s="23" t="n">
        <x:v>4</x:v>
      </x:c>
      <x:c r="H10" s="23" t="n">
        <x:v>478</x:v>
      </x:c>
      <x:c r="I10" s="23" t="str">
        <x:v>Combat</x:v>
      </x:c>
      <x:c r="J10" s="23" t="n">
        <x:v>1</x:v>
      </x:c>
      <x:c r="K10" s="23" t="n">
        <x:v>20</x:v>
      </x:c>
      <x:c r="L10" s="23" t="n">
        <x:v>3080</x:v>
      </x:c>
      <x:c r="M10" s="20" t="str">
        <x:v>possible</x:v>
      </x:c>
      <x:c r="N10" s="23" t="n">
        <x:v>10751386</x:v>
      </x:c>
      <x:c r="O10" s="23" t="n">
        <x:v>0</x:v>
      </x:c>
      <x:c r="P10" s="23" t="n">
        <x:v>0</x:v>
      </x:c>
      <x:c r="Q10" s="23" t="n">
        <x:v>0</x:v>
      </x:c>
      <x:c r="R10" s="24" t="b">
        <x:v>1</x:v>
      </x:c>
      <x:c r="S10" s="23" t="n">
        <x:v>2686000</x:v>
      </x:c>
      <x:c r="T10" s="24" t="b">
        <x:v>1</x:v>
      </x:c>
      <x:c r="U10" s="24" t="b">
        <x:v>0</x:v>
      </x:c>
      <x:c r="V10" s="25" t="n">
        <x:f>N10+1.5*O10+3*P10+3*Q10</x:f>
        <x:v>10751386</x:v>
      </x:c>
      <x:c r="W10" s="25" t="n">
        <x:f>S10*3</x:f>
        <x:v>8058000</x:v>
      </x:c>
      <x:c r="X10" s="25" t="n">
        <x:f>IF(Z10="No",0,V10-W10)</x:f>
        <x:v>2693386</x:v>
      </x:c>
      <x:c r="Y10" s="26" t="n">
        <x:f>IF(Z10="No",0,IFERROR(V10/W10,0))</x:f>
        <x:v>1.3342499379498636</x:v>
      </x:c>
      <x:c r="Z10" s="27" t="str">
        <x:f>IF(AND(U10=TRUE,V10=0),"No","Yes")</x:f>
        <x:v>Yes</x:v>
      </x:c>
      <x:c r="AA10" s="27" t="str">
        <x:f>IF(Z10="No","Not comparable",IF(X10&gt;0,"Yes","No"))</x:f>
        <x:v>Yes</x:v>
      </x:c>
    </x:row>
    <x:row r="11">
      <x:c r="A11" s="20" t="str">
        <x:v>delivery-metal-522-pve-4star</x:v>
      </x:c>
      <x:c r="B11" s="21" t="n">
        <x:v>46296</x:v>
      </x:c>
      <x:c r="C11" s="22" t="n">
        <x:v>10</x:v>
      </x:c>
      <x:c r="D11" s="20" t="str">
        <x:v>PTS scan card</x:v>
      </x:c>
      <x:c r="E11" s="20" t="str">
        <x:v>Delivery: Metal</x:v>
      </x:c>
      <x:c r="F11" s="20" t="str">
        <x:v>PvE</x:v>
      </x:c>
      <x:c r="G11" s="23" t="n">
        <x:v>4</x:v>
      </x:c>
      <x:c r="H11" s="23" t="n">
        <x:v>522</x:v>
      </x:c>
      <x:c r="I11" s="23" t="str">
        <x:v>Delivery</x:v>
      </x:c>
      <x:c r="J11" s="23" t="n">
        <x:v>6</x:v>
      </x:c>
      <x:c r="K11" s="23" t="n">
        <x:v>134</x:v>
      </x:c>
      <x:c r="L11" s="23" t="n">
        <x:v>3175</x:v>
      </x:c>
      <x:c r="M11" s="20" t="str">
        <x:v>possible</x:v>
      </x:c>
      <x:c r="N11" s="23" t="n">
        <x:v>77352840</x:v>
      </x:c>
      <x:c r="O11" s="23" t="n">
        <x:v>0</x:v>
      </x:c>
      <x:c r="P11" s="23" t="n">
        <x:v>0</x:v>
      </x:c>
      <x:c r="Q11" s="23" t="n">
        <x:v>0</x:v>
      </x:c>
      <x:c r="R11" s="24" t="b">
        <x:v>1</x:v>
      </x:c>
      <x:c r="S11" s="23" t="n">
        <x:v>17603000</x:v>
      </x:c>
      <x:c r="T11" s="24" t="b">
        <x:v>1</x:v>
      </x:c>
      <x:c r="U11" s="24" t="b">
        <x:v>0</x:v>
      </x:c>
      <x:c r="V11" s="25" t="n">
        <x:f>N11+1.5*O11+3*P11+3*Q11</x:f>
        <x:v>77352840</x:v>
      </x:c>
      <x:c r="W11" s="25" t="n">
        <x:f>S11*3</x:f>
        <x:v>52809000</x:v>
      </x:c>
      <x:c r="X11" s="25" t="n">
        <x:f>IF(Z11="No",0,V11-W11)</x:f>
        <x:v>24543840</x:v>
      </x:c>
      <x:c r="Y11" s="26" t="n">
        <x:f>IF(Z11="No",0,IFERROR(V11/W11,0))</x:f>
        <x:v>1.464766233028461</x:v>
      </x:c>
      <x:c r="Z11" s="27" t="str">
        <x:f>IF(AND(U11=TRUE,V11=0),"No","Yes")</x:f>
        <x:v>Yes</x:v>
      </x:c>
      <x:c r="AA11" s="27" t="str">
        <x:f>IF(Z11="No","Not comparable",IF(X11&gt;0,"Yes","No"))</x:f>
        <x:v>Yes</x:v>
      </x:c>
    </x:row>
    <x:row r="12">
      <x:c r="A12" s="20" t="str">
        <x:v>resource-metal-698-pvp-3star</x:v>
      </x:c>
      <x:c r="B12" s="21" t="n">
        <x:v>46296</x:v>
      </x:c>
      <x:c r="C12" s="22" t="n">
        <x:v>10</x:v>
      </x:c>
      <x:c r="D12" s="20" t="str">
        <x:v>PTS scan card</x:v>
      </x:c>
      <x:c r="E12" s="20" t="str">
        <x:v>Resource: Metal</x:v>
      </x:c>
      <x:c r="F12" s="20" t="str">
        <x:v>PvP</x:v>
      </x:c>
      <x:c r="G12" s="23" t="n">
        <x:v>3</x:v>
      </x:c>
      <x:c r="H12" s="23" t="n">
        <x:v>698</x:v>
      </x:c>
      <x:c r="I12" s="23" t="str">
        <x:v>Combat</x:v>
      </x:c>
      <x:c r="J12" s="23" t="n">
        <x:v>1</x:v>
      </x:c>
      <x:c r="K12" s="23" t="n">
        <x:v>17</x:v>
      </x:c>
      <x:c r="L12" s="23" t="n">
        <x:v>3175</x:v>
      </x:c>
      <x:c r="M12" s="20" t="str">
        <x:v>possible</x:v>
      </x:c>
      <x:c r="N12" s="23" t="n">
        <x:v>23549584</x:v>
      </x:c>
      <x:c r="O12" s="23" t="n">
        <x:v>0</x:v>
      </x:c>
      <x:c r="P12" s="23" t="n">
        <x:v>0</x:v>
      </x:c>
      <x:c r="Q12" s="23" t="n">
        <x:v>0</x:v>
      </x:c>
      <x:c r="R12" s="24" t="b">
        <x:v>1</x:v>
      </x:c>
      <x:c r="S12" s="23" t="n">
        <x:v>2942000</x:v>
      </x:c>
      <x:c r="T12" s="24" t="b">
        <x:v>1</x:v>
      </x:c>
      <x:c r="U12" s="24" t="b">
        <x:v>0</x:v>
      </x:c>
      <x:c r="V12" s="25" t="n">
        <x:f>N12+1.5*O12+3*P12+3*Q12</x:f>
        <x:v>23549584</x:v>
      </x:c>
      <x:c r="W12" s="25" t="n">
        <x:f>S12*3</x:f>
        <x:v>8826000</x:v>
      </x:c>
      <x:c r="X12" s="25" t="n">
        <x:f>IF(Z12="No",0,V12-W12)</x:f>
        <x:v>14723584</x:v>
      </x:c>
      <x:c r="Y12" s="26" t="n">
        <x:f>IF(Z12="No",0,IFERROR(V12/W12,0))</x:f>
        <x:v>2.6682057557217314</x:v>
      </x:c>
      <x:c r="Z12" s="27" t="str">
        <x:f>IF(AND(U12=TRUE,V12=0),"No","Yes")</x:f>
        <x:v>Yes</x:v>
      </x:c>
      <x:c r="AA12" s="27" t="str">
        <x:f>IF(Z12="No","Not comparable",IF(X12&gt;0,"Yes","No"))</x:f>
        <x:v>Yes</x:v>
      </x:c>
    </x:row>
    <x:row r="13">
      <x:c r="A13" s="20" t="str">
        <x:v>delivery-metal-628-pvp-1star</x:v>
      </x:c>
      <x:c r="B13" s="21" t="n">
        <x:v>46296</x:v>
      </x:c>
      <x:c r="C13" s="22" t="n">
        <x:v>10</x:v>
      </x:c>
      <x:c r="D13" s="20" t="str">
        <x:v>PTS scan card</x:v>
      </x:c>
      <x:c r="E13" s="20" t="str">
        <x:v>Delivery: Metal</x:v>
      </x:c>
      <x:c r="F13" s="20" t="str">
        <x:v>PvP</x:v>
      </x:c>
      <x:c r="G13" s="23" t="n">
        <x:v>1</x:v>
      </x:c>
      <x:c r="H13" s="23" t="n">
        <x:v>628</x:v>
      </x:c>
      <x:c r="I13" s="23" t="str">
        <x:v>Delivery</x:v>
      </x:c>
      <x:c r="J13" s="23" t="n">
        <x:v>2</x:v>
      </x:c>
      <x:c r="K13" s="23" t="n">
        <x:v>44</x:v>
      </x:c>
      <x:c r="L13" s="23" t="n">
        <x:v>3365</x:v>
      </x:c>
      <x:c r="M13" s="20" t="str">
        <x:v>possible</x:v>
      </x:c>
      <x:c r="N13" s="23" t="n">
        <x:v>14402214</x:v>
      </x:c>
      <x:c r="O13" s="23" t="n">
        <x:v>0</x:v>
      </x:c>
      <x:c r="P13" s="23" t="n">
        <x:v>0</x:v>
      </x:c>
      <x:c r="Q13" s="23" t="n">
        <x:v>0</x:v>
      </x:c>
      <x:c r="R13" s="24" t="b">
        <x:v>1</x:v>
      </x:c>
      <x:c r="S13" s="23" t="n">
        <x:v>1764000</x:v>
      </x:c>
      <x:c r="T13" s="24" t="b">
        <x:v>1</x:v>
      </x:c>
      <x:c r="U13" s="24" t="b">
        <x:v>0</x:v>
      </x:c>
      <x:c r="V13" s="25" t="n">
        <x:f>N13+1.5*O13+3*P13+3*Q13</x:f>
        <x:v>14402214</x:v>
      </x:c>
      <x:c r="W13" s="25" t="n">
        <x:f>S13*3</x:f>
        <x:v>5292000</x:v>
      </x:c>
      <x:c r="X13" s="25" t="n">
        <x:f>IF(Z13="No",0,V13-W13)</x:f>
        <x:v>9110214</x:v>
      </x:c>
      <x:c r="Y13" s="26" t="n">
        <x:f>IF(Z13="No",0,IFERROR(V13/W13,0))</x:f>
        <x:v>2.7215068027210885</x:v>
      </x:c>
      <x:c r="Z13" s="27" t="str">
        <x:f>IF(AND(U13=TRUE,V13=0),"No","Yes")</x:f>
        <x:v>Yes</x:v>
      </x:c>
      <x:c r="AA13" s="27" t="str">
        <x:f>IF(Z13="No","Not comparable",IF(X13&gt;0,"Yes","No"))</x:f>
        <x:v>Yes</x:v>
      </x:c>
    </x:row>
    <x:row r="14">
      <x:c r="A14" s="20" t="str">
        <x:v>delivery-metal-685-pve-2star</x:v>
      </x:c>
      <x:c r="B14" s="21" t="n">
        <x:v>46296</x:v>
      </x:c>
      <x:c r="C14" s="22" t="n">
        <x:v>10</x:v>
      </x:c>
      <x:c r="D14" s="20" t="str">
        <x:v>PTS scan card</x:v>
      </x:c>
      <x:c r="E14" s="20" t="str">
        <x:v>Delivery: Metal</x:v>
      </x:c>
      <x:c r="F14" s="20" t="str">
        <x:v>PvE</x:v>
      </x:c>
      <x:c r="G14" s="23" t="n">
        <x:v>2</x:v>
      </x:c>
      <x:c r="H14" s="23" t="n">
        <x:v>685</x:v>
      </x:c>
      <x:c r="I14" s="23" t="str">
        <x:v>Delivery</x:v>
      </x:c>
      <x:c r="J14" s="23" t="n">
        <x:v>5</x:v>
      </x:c>
      <x:c r="K14" s="23" t="n">
        <x:v>107</x:v>
      </x:c>
      <x:c r="L14" s="23" t="n">
        <x:v>2795</x:v>
      </x:c>
      <x:c r="M14" s="20" t="str">
        <x:v>possible</x:v>
      </x:c>
      <x:c r="N14" s="23" t="n">
        <x:v>41539340</x:v>
      </x:c>
      <x:c r="O14" s="23" t="n">
        <x:v>0</x:v>
      </x:c>
      <x:c r="P14" s="23" t="n">
        <x:v>0</x:v>
      </x:c>
      <x:c r="Q14" s="23" t="n">
        <x:v>0</x:v>
      </x:c>
      <x:c r="R14" s="24" t="b">
        <x:v>1</x:v>
      </x:c>
      <x:c r="S14" s="23" t="n">
        <x:v>9625000</x:v>
      </x:c>
      <x:c r="T14" s="24" t="b">
        <x:v>1</x:v>
      </x:c>
      <x:c r="U14" s="24" t="b">
        <x:v>0</x:v>
      </x:c>
      <x:c r="V14" s="25" t="n">
        <x:f>N14+1.5*O14+3*P14+3*Q14</x:f>
        <x:v>41539340</x:v>
      </x:c>
      <x:c r="W14" s="25" t="n">
        <x:f>S14*3</x:f>
        <x:v>28875000</x:v>
      </x:c>
      <x:c r="X14" s="25" t="n">
        <x:f>IF(Z14="No",0,V14-W14)</x:f>
        <x:v>12664340</x:v>
      </x:c>
      <x:c r="Y14" s="26" t="n">
        <x:f>IF(Z14="No",0,IFERROR(V14/W14,0))</x:f>
        <x:v>1.4385918614718616</x:v>
      </x:c>
      <x:c r="Z14" s="27" t="str">
        <x:f>IF(AND(U14=TRUE,V14=0),"No","Yes")</x:f>
        <x:v>Yes</x:v>
      </x:c>
      <x:c r="AA14" s="27" t="str">
        <x:f>IF(Z14="No","Not comparable",IF(X14&gt;0,"Yes","No"))</x:f>
        <x:v>Yes</x:v>
      </x:c>
    </x:row>
    <x:row r="15">
      <x:c r="A15" s="20" t="str">
        <x:v>delivery-crystal-535-pvp-2star</x:v>
      </x:c>
      <x:c r="B15" s="21" t="n">
        <x:v>46296</x:v>
      </x:c>
      <x:c r="C15" s="22" t="n">
        <x:v>10</x:v>
      </x:c>
      <x:c r="D15" s="20" t="str">
        <x:v>PTS scan card</x:v>
      </x:c>
      <x:c r="E15" s="20" t="str">
        <x:v>Delivery: Crystal</x:v>
      </x:c>
      <x:c r="F15" s="20" t="str">
        <x:v>PvP</x:v>
      </x:c>
      <x:c r="G15" s="23" t="n">
        <x:v>2</x:v>
      </x:c>
      <x:c r="H15" s="23" t="n">
        <x:v>535</x:v>
      </x:c>
      <x:c r="I15" s="23" t="str">
        <x:v>Delivery</x:v>
      </x:c>
      <x:c r="J15" s="23" t="n">
        <x:v>3</x:v>
      </x:c>
      <x:c r="K15" s="23" t="n">
        <x:v>68</x:v>
      </x:c>
      <x:c r="L15" s="23" t="n">
        <x:v>3365</x:v>
      </x:c>
      <x:c r="M15" s="20" t="str">
        <x:v>possible</x:v>
      </x:c>
      <x:c r="N15" s="23" t="n">
        <x:v>0</x:v>
      </x:c>
      <x:c r="O15" s="23" t="n">
        <x:v>25309053</x:v>
      </x:c>
      <x:c r="P15" s="23" t="n">
        <x:v>0</x:v>
      </x:c>
      <x:c r="Q15" s="23" t="n">
        <x:v>0</x:v>
      </x:c>
      <x:c r="R15" s="24" t="b">
        <x:v>1</x:v>
      </x:c>
      <x:c r="S15" s="23" t="n">
        <x:v>4510000</x:v>
      </x:c>
      <x:c r="T15" s="24" t="b">
        <x:v>1</x:v>
      </x:c>
      <x:c r="U15" s="24" t="b">
        <x:v>0</x:v>
      </x:c>
      <x:c r="V15" s="25" t="n">
        <x:f>N15+1.5*O15+3*P15+3*Q15</x:f>
        <x:v>37963579.5</x:v>
      </x:c>
      <x:c r="W15" s="25" t="n">
        <x:f>S15*3</x:f>
        <x:v>13530000</x:v>
      </x:c>
      <x:c r="X15" s="25" t="n">
        <x:f>IF(Z15="No",0,V15-W15)</x:f>
        <x:v>24433579.5</x:v>
      </x:c>
      <x:c r="Y15" s="26" t="n">
        <x:f>IF(Z15="No",0,IFERROR(V15/W15,0))</x:f>
        <x:v>2.805881707317073</x:v>
      </x:c>
      <x:c r="Z15" s="27" t="str">
        <x:f>IF(AND(U15=TRUE,V15=0),"No","Yes")</x:f>
        <x:v>Yes</x:v>
      </x:c>
      <x:c r="AA15" s="27" t="str">
        <x:f>IF(Z15="No","Not comparable",IF(X15&gt;0,"Yes","No"))</x:f>
        <x:v>Yes</x:v>
      </x:c>
    </x:row>
    <x:row r="16">
      <x:c r="A16" s="20" t="str">
        <x:v>delivery-deuterium-577-pve-1star</x:v>
      </x:c>
      <x:c r="B16" s="21" t="n">
        <x:v>46296</x:v>
      </x:c>
      <x:c r="C16" s="22" t="n">
        <x:v>10</x:v>
      </x:c>
      <x:c r="D16" s="20" t="str">
        <x:v>PTS scan card</x:v>
      </x:c>
      <x:c r="E16" s="20" t="str">
        <x:v>Delivery: Deuterium</x:v>
      </x:c>
      <x:c r="F16" s="20" t="str">
        <x:v>PvE</x:v>
      </x:c>
      <x:c r="G16" s="23" t="n">
        <x:v>1</x:v>
      </x:c>
      <x:c r="H16" s="23" t="n">
        <x:v>577</x:v>
      </x:c>
      <x:c r="I16" s="23" t="str">
        <x:v>Delivery</x:v>
      </x:c>
      <x:c r="J16" s="23" t="n">
        <x:v>6</x:v>
      </x:c>
      <x:c r="K16" s="23" t="n">
        <x:v>127</x:v>
      </x:c>
      <x:c r="L16" s="23" t="n">
        <x:v>3175</x:v>
      </x:c>
      <x:c r="M16" s="20" t="str">
        <x:v>possible</x:v>
      </x:c>
      <x:c r="N16" s="23" t="n">
        <x:v>0</x:v>
      </x:c>
      <x:c r="O16" s="23" t="n">
        <x:v>0</x:v>
      </x:c>
      <x:c r="P16" s="23" t="n">
        <x:v>9391734</x:v>
      </x:c>
      <x:c r="Q16" s="23" t="n">
        <x:v>0</x:v>
      </x:c>
      <x:c r="R16" s="24" t="b">
        <x:v>1</x:v>
      </x:c>
      <x:c r="S16" s="23" t="n">
        <x:v>4864000</x:v>
      </x:c>
      <x:c r="T16" s="24" t="b">
        <x:v>1</x:v>
      </x:c>
      <x:c r="U16" s="24" t="b">
        <x:v>0</x:v>
      </x:c>
      <x:c r="V16" s="25" t="n">
        <x:f>N16+1.5*O16+3*P16+3*Q16</x:f>
        <x:v>28175202</x:v>
      </x:c>
      <x:c r="W16" s="25" t="n">
        <x:f>S16*3</x:f>
        <x:v>14592000</x:v>
      </x:c>
      <x:c r="X16" s="25" t="n">
        <x:f>IF(Z16="No",0,V16-W16)</x:f>
        <x:v>13583202</x:v>
      </x:c>
      <x:c r="Y16" s="26" t="n">
        <x:f>IF(Z16="No",0,IFERROR(V16/W16,0))</x:f>
        <x:v>1.930866365131579</x:v>
      </x:c>
      <x:c r="Z16" s="27" t="str">
        <x:f>IF(AND(U16=TRUE,V16=0),"No","Yes")</x:f>
        <x:v>Yes</x:v>
      </x:c>
      <x:c r="AA16" s="27" t="str">
        <x:f>IF(Z16="No","Not comparable",IF(X16&gt;0,"Yes","No"))</x:f>
        <x:v>Yes</x:v>
      </x:c>
    </x:row>
    <x:row r="17">
      <x:c r="A17" s="20" t="str">
        <x:v>small-alien-encounter-643-pve-1star</x:v>
      </x:c>
      <x:c r="B17" s="21" t="n">
        <x:v>46296</x:v>
      </x:c>
      <x:c r="C17" s="22" t="n">
        <x:v>10</x:v>
      </x:c>
      <x:c r="D17" s="20" t="str">
        <x:v>PTS scan card</x:v>
      </x:c>
      <x:c r="E17" s="20" t="str">
        <x:v>Small Alien Encounter</x:v>
      </x:c>
      <x:c r="F17" s="20" t="str">
        <x:v>PvE</x:v>
      </x:c>
      <x:c r="G17" s="23" t="n">
        <x:v>1</x:v>
      </x:c>
      <x:c r="H17" s="23" t="n">
        <x:v>643</x:v>
      </x:c>
      <x:c r="I17" s="23" t="str">
        <x:v>Combat</x:v>
      </x:c>
      <x:c r="J17" s="23" t="n">
        <x:v>2</x:v>
      </x:c>
      <x:c r="K17" s="23" t="n">
        <x:v>39</x:v>
      </x:c>
      <x:c r="L17" s="23" t="n">
        <x:v>3175</x:v>
      </x:c>
      <x:c r="M17" s="20" t="str">
        <x:v>possible</x:v>
      </x:c>
      <x:c r="N17" s="23" t="n">
        <x:v>3402973</x:v>
      </x:c>
      <x:c r="O17" s="23" t="n">
        <x:v>2295710</x:v>
      </x:c>
      <x:c r="P17" s="23" t="n">
        <x:v>0</x:v>
      </x:c>
      <x:c r="Q17" s="23" t="n">
        <x:v>0</x:v>
      </x:c>
      <x:c r="R17" s="24" t="b">
        <x:v>1</x:v>
      </x:c>
      <x:c r="S17" s="23" t="n">
        <x:v>1806000</x:v>
      </x:c>
      <x:c r="T17" s="24" t="b">
        <x:v>1</x:v>
      </x:c>
      <x:c r="U17" s="24" t="b">
        <x:v>0</x:v>
      </x:c>
      <x:c r="V17" s="25" t="n">
        <x:f>N17+1.5*O17+3*P17+3*Q17</x:f>
        <x:v>6846538</x:v>
      </x:c>
      <x:c r="W17" s="25" t="n">
        <x:f>S17*3</x:f>
        <x:v>5418000</x:v>
      </x:c>
      <x:c r="X17" s="25" t="n">
        <x:f>IF(Z17="No",0,V17-W17)</x:f>
        <x:v>1428538</x:v>
      </x:c>
      <x:c r="Y17" s="26" t="n">
        <x:f>IF(Z17="No",0,IFERROR(V17/W17,0))</x:f>
        <x:v>1.2636651901070506</x:v>
      </x:c>
      <x:c r="Z17" s="27" t="str">
        <x:f>IF(AND(U17=TRUE,V17=0),"No","Yes")</x:f>
        <x:v>Yes</x:v>
      </x:c>
      <x:c r="AA17" s="27" t="str">
        <x:f>IF(Z17="No","Not comparable",IF(X17&gt;0,"Yes","No"))</x:f>
        <x:v>Yes</x:v>
      </x:c>
    </x:row>
    <x:row r="18">
      <x:c r="A18" s="20" t="str">
        <x:v>alien-encounter-534-pvp-1star</x:v>
      </x:c>
      <x:c r="B18" s="21" t="n">
        <x:v>46296</x:v>
      </x:c>
      <x:c r="C18" s="22" t="n">
        <x:v>50</x:v>
      </x:c>
      <x:c r="D18" s="20" t="str">
        <x:v>PTS scan card</x:v>
      </x:c>
      <x:c r="E18" s="20" t="str">
        <x:v>Alien Encounter</x:v>
      </x:c>
      <x:c r="F18" s="20" t="str">
        <x:v>PvP</x:v>
      </x:c>
      <x:c r="G18" s="23" t="n">
        <x:v>1</x:v>
      </x:c>
      <x:c r="H18" s="23" t="n">
        <x:v>534</x:v>
      </x:c>
      <x:c r="I18" s="23" t="str">
        <x:v>Combat</x:v>
      </x:c>
      <x:c r="J18" s="23" t="n">
        <x:v>6</x:v>
      </x:c>
      <x:c r="K18" s="23" t="n">
        <x:v>131</x:v>
      </x:c>
      <x:c r="L18" s="23" t="n">
        <x:v>3650</x:v>
      </x:c>
      <x:c r="M18" s="20" t="str">
        <x:v>possible</x:v>
      </x:c>
      <x:c r="N18" s="23" t="n">
        <x:v>27391524</x:v>
      </x:c>
      <x:c r="O18" s="23" t="n">
        <x:v>4065344</x:v>
      </x:c>
      <x:c r="P18" s="23" t="n">
        <x:v>9387178</x:v>
      </x:c>
      <x:c r="Q18" s="23" t="n">
        <x:v>0</x:v>
      </x:c>
      <x:c r="R18" s="24" t="b">
        <x:v>1</x:v>
      </x:c>
      <x:c r="S18" s="23" t="n">
        <x:v>4502000</x:v>
      </x:c>
      <x:c r="T18" s="24" t="b">
        <x:v>1</x:v>
      </x:c>
      <x:c r="U18" s="24" t="b">
        <x:v>1</x:v>
      </x:c>
      <x:c r="V18" s="25" t="n">
        <x:f>N18+1.5*O18+3*P18+3*Q18</x:f>
        <x:v>61651074</x:v>
      </x:c>
      <x:c r="W18" s="25" t="n">
        <x:f>S18*3</x:f>
        <x:v>13506000</x:v>
      </x:c>
      <x:c r="X18" s="25" t="n">
        <x:f>IF(Z18="No",0,V18-W18)</x:f>
        <x:v>48145074</x:v>
      </x:c>
      <x:c r="Y18" s="26" t="n">
        <x:f>IF(Z18="No",0,IFERROR(V18/W18,0))</x:f>
        <x:v>4.564717458907152</x:v>
      </x:c>
      <x:c r="Z18" s="27" t="str">
        <x:f>IF(AND(U18=TRUE,V18=0),"No","Yes")</x:f>
        <x:v>Yes</x:v>
      </x:c>
      <x:c r="AA18" s="27" t="str">
        <x:f>IF(Z18="No","Not comparable",IF(X18&gt;0,"Yes","No"))</x:f>
        <x:v>Yes</x:v>
      </x:c>
    </x:row>
    <x:row r="19">
      <x:c r="A19" s="20" t="str">
        <x:v>rescue-706-pve-5star</x:v>
      </x:c>
      <x:c r="B19" s="21" t="n">
        <x:v>46296</x:v>
      </x:c>
      <x:c r="C19" s="22" t="n">
        <x:v>50</x:v>
      </x:c>
      <x:c r="D19" s="20" t="str">
        <x:v>PTS scan card</x:v>
      </x:c>
      <x:c r="E19" s="20" t="str">
        <x:v>Rescue</x:v>
      </x:c>
      <x:c r="F19" s="20" t="str">
        <x:v>PvE</x:v>
      </x:c>
      <x:c r="G19" s="23" t="n">
        <x:v>5</x:v>
      </x:c>
      <x:c r="H19" s="23" t="n">
        <x:v>706</x:v>
      </x:c>
      <x:c r="I19" s="23" t="str">
        <x:v>Combat</x:v>
      </x:c>
      <x:c r="J19" s="23" t="n">
        <x:v>1</x:v>
      </x:c>
      <x:c r="K19" s="23" t="n">
        <x:v>20</x:v>
      </x:c>
      <x:c r="L19" s="23" t="n">
        <x:v>6880</x:v>
      </x:c>
      <x:c r="M19" s="20" t="str">
        <x:v>possible</x:v>
      </x:c>
      <x:c r="N19" s="23" t="n">
        <x:v>0</x:v>
      </x:c>
      <x:c r="O19" s="23" t="n">
        <x:v>0</x:v>
      </x:c>
      <x:c r="P19" s="23" t="n">
        <x:v>0</x:v>
      </x:c>
      <x:c r="Q19" s="23" t="n">
        <x:v>0</x:v>
      </x:c>
      <x:c r="R19" s="24" t="b">
        <x:v>1</x:v>
      </x:c>
      <x:c r="S19" s="23" t="n">
        <x:v>4960000</x:v>
      </x:c>
      <x:c r="T19" s="24" t="b">
        <x:v>1</x:v>
      </x:c>
      <x:c r="U19" s="24" t="b">
        <x:v>1</x:v>
      </x:c>
      <x:c r="V19" s="25" t="n">
        <x:f>N19+1.5*O19+3*P19+3*Q19</x:f>
        <x:v>0</x:v>
      </x:c>
      <x:c r="W19" s="25" t="n">
        <x:f>S19*3</x:f>
        <x:v>14880000</x:v>
      </x:c>
      <x:c r="X19" s="25" t="n">
        <x:f>IF(Z19="No",0,V19-W19)</x:f>
        <x:v>0</x:v>
      </x:c>
      <x:c r="Y19" s="26" t="n">
        <x:f>IF(Z19="No",0,IFERROR(V19/W19,0))</x:f>
        <x:v>0</x:v>
      </x:c>
      <x:c r="Z19" s="27" t="str">
        <x:f>IF(AND(U19=TRUE,V19=0),"No","Yes")</x:f>
        <x:v>No</x:v>
      </x:c>
      <x:c r="AA19" s="27" t="str">
        <x:f>IF(Z19="No","Not comparable",IF(X19&gt;0,"Yes","No"))</x:f>
        <x:v>Not comparable</x:v>
      </x:c>
    </x:row>
    <x:row r="20">
      <x:c r="A20" s="20" t="str">
        <x:v>medium-alien-encounter-610-pve-1star</x:v>
      </x:c>
      <x:c r="B20" s="21" t="n">
        <x:v>46296</x:v>
      </x:c>
      <x:c r="C20" s="22" t="n">
        <x:v>50</x:v>
      </x:c>
      <x:c r="D20" s="20" t="str">
        <x:v>PTS scan card</x:v>
      </x:c>
      <x:c r="E20" s="20" t="str">
        <x:v>Medium Alien Encounter</x:v>
      </x:c>
      <x:c r="F20" s="20" t="str">
        <x:v>PvE</x:v>
      </x:c>
      <x:c r="G20" s="23" t="n">
        <x:v>1</x:v>
      </x:c>
      <x:c r="H20" s="23" t="n">
        <x:v>610</x:v>
      </x:c>
      <x:c r="I20" s="23" t="str">
        <x:v>Combat</x:v>
      </x:c>
      <x:c r="J20" s="23" t="n">
        <x:v>4</x:v>
      </x:c>
      <x:c r="K20" s="23" t="n">
        <x:v>89</x:v>
      </x:c>
      <x:c r="L20" s="23" t="n">
        <x:v>7070</x:v>
      </x:c>
      <x:c r="M20" s="20" t="str">
        <x:v>possible</x:v>
      </x:c>
      <x:c r="N20" s="23" t="n">
        <x:v>0</x:v>
      </x:c>
      <x:c r="O20" s="23" t="n">
        <x:v>7350378</x:v>
      </x:c>
      <x:c r="P20" s="23" t="n">
        <x:v>1595711</x:v>
      </x:c>
      <x:c r="Q20" s="23" t="n">
        <x:v>0</x:v>
      </x:c>
      <x:c r="R20" s="24" t="b">
        <x:v>1</x:v>
      </x:c>
      <x:c r="S20" s="23" t="n">
        <x:v>3428000</x:v>
      </x:c>
      <x:c r="T20" s="24" t="b">
        <x:v>1</x:v>
      </x:c>
      <x:c r="U20" s="24" t="b">
        <x:v>0</x:v>
      </x:c>
      <x:c r="V20" s="25" t="n">
        <x:f>N20+1.5*O20+3*P20+3*Q20</x:f>
        <x:v>15812700</x:v>
      </x:c>
      <x:c r="W20" s="25" t="n">
        <x:f>S20*3</x:f>
        <x:v>10284000</x:v>
      </x:c>
      <x:c r="X20" s="25" t="n">
        <x:f>IF(Z20="No",0,V20-W20)</x:f>
        <x:v>5528700</x:v>
      </x:c>
      <x:c r="Y20" s="26" t="n">
        <x:f>IF(Z20="No",0,IFERROR(V20/W20,0))</x:f>
        <x:v>1.5376021003500584</x:v>
      </x:c>
      <x:c r="Z20" s="27" t="str">
        <x:f>IF(AND(U20=TRUE,V20=0),"No","Yes")</x:f>
        <x:v>Yes</x:v>
      </x:c>
      <x:c r="AA20" s="27" t="str">
        <x:f>IF(Z20="No","Not comparable",IF(X20&gt;0,"Yes","No"))</x:f>
        <x:v>Yes</x:v>
      </x:c>
    </x:row>
    <x:row r="21">
      <x:c r="A21" s="20" t="str">
        <x:v>medium-alien-encounter-690-pvp-3star</x:v>
      </x:c>
      <x:c r="B21" s="21" t="n">
        <x:v>46296</x:v>
      </x:c>
      <x:c r="C21" s="22" t="n">
        <x:v>50</x:v>
      </x:c>
      <x:c r="D21" s="20" t="str">
        <x:v>PTS scan card</x:v>
      </x:c>
      <x:c r="E21" s="20" t="str">
        <x:v>Medium Alien Encounter</x:v>
      </x:c>
      <x:c r="F21" s="20" t="str">
        <x:v>PvP</x:v>
      </x:c>
      <x:c r="G21" s="23" t="n">
        <x:v>3</x:v>
      </x:c>
      <x:c r="H21" s="23" t="n">
        <x:v>690</x:v>
      </x:c>
      <x:c r="I21" s="23" t="str">
        <x:v>Combat</x:v>
      </x:c>
      <x:c r="J21" s="23" t="n">
        <x:v>1</x:v>
      </x:c>
      <x:c r="K21" s="23" t="n">
        <x:v>23</x:v>
      </x:c>
      <x:c r="L21" s="23" t="n">
        <x:v>7070</x:v>
      </x:c>
      <x:c r="M21" s="20" t="str">
        <x:v>possible</x:v>
      </x:c>
      <x:c r="N21" s="23" t="n">
        <x:v>11639837</x:v>
      </x:c>
      <x:c r="O21" s="23" t="n">
        <x:v>5182620</x:v>
      </x:c>
      <x:c r="P21" s="23" t="n">
        <x:v>1738801</x:v>
      </x:c>
      <x:c r="Q21" s="23" t="n">
        <x:v>0</x:v>
      </x:c>
      <x:c r="R21" s="24" t="b">
        <x:v>1</x:v>
      </x:c>
      <x:c r="S21" s="23" t="n">
        <x:v>2908000</x:v>
      </x:c>
      <x:c r="T21" s="24" t="b">
        <x:v>1</x:v>
      </x:c>
      <x:c r="U21" s="24" t="b">
        <x:v>1</x:v>
      </x:c>
      <x:c r="V21" s="25" t="n">
        <x:f>N21+1.5*O21+3*P21+3*Q21</x:f>
        <x:v>24630170</x:v>
      </x:c>
      <x:c r="W21" s="25" t="n">
        <x:f>S21*3</x:f>
        <x:v>8724000</x:v>
      </x:c>
      <x:c r="X21" s="25" t="n">
        <x:f>IF(Z21="No",0,V21-W21)</x:f>
        <x:v>15906170</x:v>
      </x:c>
      <x:c r="Y21" s="26" t="n">
        <x:f>IF(Z21="No",0,IFERROR(V21/W21,0))</x:f>
        <x:v>2.823265703805594</x:v>
      </x:c>
      <x:c r="Z21" s="27" t="str">
        <x:f>IF(AND(U21=TRUE,V21=0),"No","Yes")</x:f>
        <x:v>Yes</x:v>
      </x:c>
      <x:c r="AA21" s="27" t="str">
        <x:f>IF(Z21="No","Not comparable",IF(X21&gt;0,"Yes","No"))</x:f>
        <x:v>Yes</x:v>
      </x:c>
    </x:row>
    <x:row r="22">
      <x:c r="A22" s="20" t="str">
        <x:v>delivery-crystal-640-pve-2star</x:v>
      </x:c>
      <x:c r="B22" s="21" t="n">
        <x:v>46296</x:v>
      </x:c>
      <x:c r="C22" s="22" t="n">
        <x:v>50</x:v>
      </x:c>
      <x:c r="D22" s="20" t="str">
        <x:v>PTS scan card</x:v>
      </x:c>
      <x:c r="E22" s="20" t="str">
        <x:v>Delivery: Crystal</x:v>
      </x:c>
      <x:c r="F22" s="20" t="str">
        <x:v>PvE</x:v>
      </x:c>
      <x:c r="G22" s="23" t="n">
        <x:v>2</x:v>
      </x:c>
      <x:c r="H22" s="23" t="n">
        <x:v>640</x:v>
      </x:c>
      <x:c r="I22" s="23" t="str">
        <x:v>Delivery</x:v>
      </x:c>
      <x:c r="J22" s="23" t="n">
        <x:v>1</x:v>
      </x:c>
      <x:c r="K22" s="23" t="n">
        <x:v>26</x:v>
      </x:c>
      <x:c r="L22" s="23" t="n">
        <x:v>4695</x:v>
      </x:c>
      <x:c r="M22" s="20" t="str">
        <x:v>possible</x:v>
      </x:c>
      <x:c r="N22" s="23" t="n">
        <x:v>0</x:v>
      </x:c>
      <x:c r="O22" s="23" t="n">
        <x:v>4855623</x:v>
      </x:c>
      <x:c r="P22" s="23" t="n">
        <x:v>0</x:v>
      </x:c>
      <x:c r="Q22" s="23" t="n">
        <x:v>0</x:v>
      </x:c>
      <x:c r="R22" s="24" t="b">
        <x:v>1</x:v>
      </x:c>
      <x:c r="S22" s="23" t="n">
        <x:v>1798000</x:v>
      </x:c>
      <x:c r="T22" s="24" t="b">
        <x:v>1</x:v>
      </x:c>
      <x:c r="U22" s="24" t="b">
        <x:v>0</x:v>
      </x:c>
      <x:c r="V22" s="25" t="n">
        <x:f>N22+1.5*O22+3*P22+3*Q22</x:f>
        <x:v>7283434.5</x:v>
      </x:c>
      <x:c r="W22" s="25" t="n">
        <x:f>S22*3</x:f>
        <x:v>5394000</x:v>
      </x:c>
      <x:c r="X22" s="25" t="n">
        <x:f>IF(Z22="No",0,V22-W22)</x:f>
        <x:v>1889434.5</x:v>
      </x:c>
      <x:c r="Y22" s="26" t="n">
        <x:f>IF(Z22="No",0,IFERROR(V22/W22,0))</x:f>
        <x:v>1.3502844827586207</x:v>
      </x:c>
      <x:c r="Z22" s="27" t="str">
        <x:f>IF(AND(U22=TRUE,V22=0),"No","Yes")</x:f>
        <x:v>Yes</x:v>
      </x:c>
      <x:c r="AA22" s="27" t="str">
        <x:f>IF(Z22="No","Not comparable",IF(X22&gt;0,"Yes","No"))</x:f>
        <x:v>Yes</x:v>
      </x:c>
    </x:row>
    <x:row r="23">
      <x:c r="A23" s="20" t="str">
        <x:v>medium-pirate-encounter-581-pve-3star</x:v>
      </x:c>
      <x:c r="B23" s="21" t="n">
        <x:v>46296</x:v>
      </x:c>
      <x:c r="C23" s="22" t="n">
        <x:v>50</x:v>
      </x:c>
      <x:c r="D23" s="20" t="str">
        <x:v>PTS scan card</x:v>
      </x:c>
      <x:c r="E23" s="20" t="str">
        <x:v>Medium Pirate Encounter</x:v>
      </x:c>
      <x:c r="F23" s="20" t="str">
        <x:v>PvE</x:v>
      </x:c>
      <x:c r="G23" s="23" t="n">
        <x:v>3</x:v>
      </x:c>
      <x:c r="H23" s="23" t="n">
        <x:v>581</x:v>
      </x:c>
      <x:c r="I23" s="23" t="str">
        <x:v>Combat</x:v>
      </x:c>
      <x:c r="J23" s="23" t="n">
        <x:v>3</x:v>
      </x:c>
      <x:c r="K23" s="23" t="n">
        <x:v>66</x:v>
      </x:c>
      <x:c r="L23" s="23" t="n">
        <x:v>6215</x:v>
      </x:c>
      <x:c r="M23" s="20" t="str">
        <x:v>possible</x:v>
      </x:c>
      <x:c r="N23" s="23" t="n">
        <x:v>0</x:v>
      </x:c>
      <x:c r="O23" s="23" t="n">
        <x:v>0</x:v>
      </x:c>
      <x:c r="P23" s="23" t="n">
        <x:v>0</x:v>
      </x:c>
      <x:c r="Q23" s="23" t="n">
        <x:v>0</x:v>
      </x:c>
      <x:c r="R23" s="24" t="b">
        <x:v>1</x:v>
      </x:c>
      <x:c r="S23" s="23" t="n">
        <x:v>7347000</x:v>
      </x:c>
      <x:c r="T23" s="24" t="b">
        <x:v>1</x:v>
      </x:c>
      <x:c r="U23" s="24" t="b">
        <x:v>1</x:v>
      </x:c>
      <x:c r="V23" s="25" t="n">
        <x:f>N23+1.5*O23+3*P23+3*Q23</x:f>
        <x:v>0</x:v>
      </x:c>
      <x:c r="W23" s="25" t="n">
        <x:f>S23*3</x:f>
        <x:v>22041000</x:v>
      </x:c>
      <x:c r="X23" s="25" t="n">
        <x:f>IF(Z23="No",0,V23-W23)</x:f>
        <x:v>0</x:v>
      </x:c>
      <x:c r="Y23" s="26" t="n">
        <x:f>IF(Z23="No",0,IFERROR(V23/W23,0))</x:f>
        <x:v>0</x:v>
      </x:c>
      <x:c r="Z23" s="27" t="str">
        <x:f>IF(AND(U23=TRUE,V23=0),"No","Yes")</x:f>
        <x:v>No</x:v>
      </x:c>
      <x:c r="AA23" s="27" t="str">
        <x:f>IF(Z23="No","Not comparable",IF(X23&gt;0,"Yes","No"))</x:f>
        <x:v>Not comparable</x:v>
      </x:c>
    </x:row>
    <x:row r="24">
      <x:c r="A24" s="20" t="str">
        <x:v>delivery-metal-708-pvp-4star</x:v>
      </x:c>
      <x:c r="B24" s="21" t="n">
        <x:v>46296</x:v>
      </x:c>
      <x:c r="C24" s="22" t="n">
        <x:v>50</x:v>
      </x:c>
      <x:c r="D24" s="20" t="str">
        <x:v>PTS scan card</x:v>
      </x:c>
      <x:c r="E24" s="20" t="str">
        <x:v>Delivery: Metal</x:v>
      </x:c>
      <x:c r="F24" s="20" t="str">
        <x:v>PvP</x:v>
      </x:c>
      <x:c r="G24" s="23" t="n">
        <x:v>4</x:v>
      </x:c>
      <x:c r="H24" s="23" t="n">
        <x:v>708</x:v>
      </x:c>
      <x:c r="I24" s="23" t="str">
        <x:v>Delivery</x:v>
      </x:c>
      <x:c r="J24" s="23" t="n">
        <x:v>1</x:v>
      </x:c>
      <x:c r="K24" s="23" t="n">
        <x:v>24</x:v>
      </x:c>
      <x:c r="L24" s="23" t="n">
        <x:v>7165</x:v>
      </x:c>
      <x:c r="M24" s="20" t="str">
        <x:v>possible</x:v>
      </x:c>
      <x:c r="N24" s="23" t="n">
        <x:v>31849298</x:v>
      </x:c>
      <x:c r="O24" s="23" t="n">
        <x:v>0</x:v>
      </x:c>
      <x:c r="P24" s="23" t="n">
        <x:v>0</x:v>
      </x:c>
      <x:c r="Q24" s="23" t="n">
        <x:v>0</x:v>
      </x:c>
      <x:c r="R24" s="24" t="b">
        <x:v>1</x:v>
      </x:c>
      <x:c r="S24" s="23" t="n">
        <x:v>3979000</x:v>
      </x:c>
      <x:c r="T24" s="24" t="b">
        <x:v>1</x:v>
      </x:c>
      <x:c r="U24" s="24" t="b">
        <x:v>0</x:v>
      </x:c>
      <x:c r="V24" s="25" t="n">
        <x:f>N24+1.5*O24+3*P24+3*Q24</x:f>
        <x:v>31849298</x:v>
      </x:c>
      <x:c r="W24" s="25" t="n">
        <x:f>S24*3</x:f>
        <x:v>11937000</x:v>
      </x:c>
      <x:c r="X24" s="25" t="n">
        <x:f>IF(Z24="No",0,V24-W24)</x:f>
        <x:v>19912298</x:v>
      </x:c>
      <x:c r="Y24" s="26" t="n">
        <x:f>IF(Z24="No",0,IFERROR(V24/W24,0))</x:f>
        <x:v>2.668115774482701</x:v>
      </x:c>
      <x:c r="Z24" s="27" t="str">
        <x:f>IF(AND(U24=TRUE,V24=0),"No","Yes")</x:f>
        <x:v>Yes</x:v>
      </x:c>
      <x:c r="AA24" s="27" t="str">
        <x:f>IF(Z24="No","Not comparable",IF(X24&gt;0,"Yes","No"))</x:f>
        <x:v>Yes</x:v>
      </x:c>
    </x:row>
    <x:row r="25">
      <x:c r="A25" s="20" t="str">
        <x:v>small-alien-encounter-527-pvp-2star</x:v>
      </x:c>
      <x:c r="B25" s="21" t="n">
        <x:v>46296</x:v>
      </x:c>
      <x:c r="C25" s="22" t="n">
        <x:v>50</x:v>
      </x:c>
      <x:c r="D25" s="20" t="str">
        <x:v>PTS scan card</x:v>
      </x:c>
      <x:c r="E25" s="20" t="str">
        <x:v>Small Alien Encounter</x:v>
      </x:c>
      <x:c r="F25" s="20" t="str">
        <x:v>PvP</x:v>
      </x:c>
      <x:c r="G25" s="23" t="n">
        <x:v>2</x:v>
      </x:c>
      <x:c r="H25" s="23" t="n">
        <x:v>527</x:v>
      </x:c>
      <x:c r="I25" s="23" t="str">
        <x:v>Combat</x:v>
      </x:c>
      <x:c r="J25" s="23" t="n">
        <x:v>2</x:v>
      </x:c>
      <x:c r="K25" s="23" t="n">
        <x:v>45</x:v>
      </x:c>
      <x:c r="L25" s="23" t="n">
        <x:v>6025</x:v>
      </x:c>
      <x:c r="M25" s="20" t="str">
        <x:v>possible</x:v>
      </x:c>
      <x:c r="N25" s="23" t="n">
        <x:v>0</x:v>
      </x:c>
      <x:c r="O25" s="23" t="n">
        <x:v>0</x:v>
      </x:c>
      <x:c r="P25" s="23" t="n">
        <x:v>9803306</x:v>
      </x:c>
      <x:c r="Q25" s="23" t="n">
        <x:v>0</x:v>
      </x:c>
      <x:c r="R25" s="24" t="b">
        <x:v>1</x:v>
      </x:c>
      <x:c r="S25" s="23" t="n">
        <x:v>2961000</x:v>
      </x:c>
      <x:c r="T25" s="24" t="b">
        <x:v>1</x:v>
      </x:c>
      <x:c r="U25" s="24" t="b">
        <x:v>0</x:v>
      </x:c>
      <x:c r="V25" s="25" t="n">
        <x:f>N25+1.5*O25+3*P25+3*Q25</x:f>
        <x:v>29409918</x:v>
      </x:c>
      <x:c r="W25" s="25" t="n">
        <x:f>S25*3</x:f>
        <x:v>8883000</x:v>
      </x:c>
      <x:c r="X25" s="25" t="n">
        <x:f>IF(Z25="No",0,V25-W25)</x:f>
        <x:v>20526918</x:v>
      </x:c>
      <x:c r="Y25" s="26" t="n">
        <x:f>IF(Z25="No",0,IFERROR(V25/W25,0))</x:f>
        <x:v>3.310809186085782</x:v>
      </x:c>
      <x:c r="Z25" s="27" t="str">
        <x:f>IF(AND(U25=TRUE,V25=0),"No","Yes")</x:f>
        <x:v>Yes</x:v>
      </x:c>
      <x:c r="AA25" s="27" t="str">
        <x:f>IF(Z25="No","Not comparable",IF(X25&gt;0,"Yes","No"))</x:f>
        <x:v>Yes</x:v>
      </x:c>
    </x:row>
    <x:row r="26">
      <x:c r="A26" s="20" t="str">
        <x:v>alien-encounter-619-pve-1star</x:v>
      </x:c>
      <x:c r="B26" s="21" t="n">
        <x:v>46296</x:v>
      </x:c>
      <x:c r="C26" s="22" t="n">
        <x:v>50</x:v>
      </x:c>
      <x:c r="D26" s="20" t="str">
        <x:v>PTS scan card</x:v>
      </x:c>
      <x:c r="E26" s="20" t="str">
        <x:v>Alien Encounter</x:v>
      </x:c>
      <x:c r="F26" s="20" t="str">
        <x:v>PvE</x:v>
      </x:c>
      <x:c r="G26" s="23" t="n">
        <x:v>1</x:v>
      </x:c>
      <x:c r="H26" s="23" t="n">
        <x:v>619</x:v>
      </x:c>
      <x:c r="I26" s="23" t="str">
        <x:v>Combat</x:v>
      </x:c>
      <x:c r="J26" s="23" t="n">
        <x:v>8</x:v>
      </x:c>
      <x:c r="K26" s="23" t="n">
        <x:v>162</x:v>
      </x:c>
      <x:c r="L26" s="23" t="n">
        <x:v>3365</x:v>
      </x:c>
      <x:c r="M26" s="20" t="str">
        <x:v>possible</x:v>
      </x:c>
      <x:c r="N26" s="23" t="n">
        <x:v>13702320</x:v>
      </x:c>
      <x:c r="O26" s="23" t="n">
        <x:v>8615263</x:v>
      </x:c>
      <x:c r="P26" s="23" t="n">
        <x:v>7633743</x:v>
      </x:c>
      <x:c r="Q26" s="23" t="n">
        <x:v>0</x:v>
      </x:c>
      <x:c r="R26" s="24" t="b">
        <x:v>1</x:v>
      </x:c>
      <x:c r="S26" s="23" t="n">
        <x:v>6958000</x:v>
      </x:c>
      <x:c r="T26" s="24" t="b">
        <x:v>1</x:v>
      </x:c>
      <x:c r="U26" s="24" t="b">
        <x:v>1</x:v>
      </x:c>
      <x:c r="V26" s="25" t="n">
        <x:f>N26+1.5*O26+3*P26+3*Q26</x:f>
        <x:v>49526443.5</x:v>
      </x:c>
      <x:c r="W26" s="25" t="n">
        <x:f>S26*3</x:f>
        <x:v>20874000</x:v>
      </x:c>
      <x:c r="X26" s="25" t="n">
        <x:f>IF(Z26="No",0,V26-W26)</x:f>
        <x:v>28652443.5</x:v>
      </x:c>
      <x:c r="Y26" s="26" t="n">
        <x:f>IF(Z26="No",0,IFERROR(V26/W26,0))</x:f>
        <x:v>2.3726378988215004</x:v>
      </x:c>
      <x:c r="Z26" s="27" t="str">
        <x:f>IF(AND(U26=TRUE,V26=0),"No","Yes")</x:f>
        <x:v>Yes</x:v>
      </x:c>
      <x:c r="AA26" s="27" t="str">
        <x:f>IF(Z26="No","Not comparable",IF(X26&gt;0,"Yes","No"))</x:f>
        <x:v>Yes</x:v>
      </x:c>
    </x:row>
    <x:row r="27">
      <x:c r="A27" s="20" t="str">
        <x:v>delivery-crystal-549-pvp-2star</x:v>
      </x:c>
      <x:c r="B27" s="21" t="n">
        <x:v>46296</x:v>
      </x:c>
      <x:c r="C27" s="22" t="n">
        <x:v>50</x:v>
      </x:c>
      <x:c r="D27" s="20" t="str">
        <x:v>PTS scan card</x:v>
      </x:c>
      <x:c r="E27" s="20" t="str">
        <x:v>Delivery: Crystal</x:v>
      </x:c>
      <x:c r="F27" s="20" t="str">
        <x:v>PvP</x:v>
      </x:c>
      <x:c r="G27" s="23" t="n">
        <x:v>2</x:v>
      </x:c>
      <x:c r="H27" s="23" t="n">
        <x:v>549</x:v>
      </x:c>
      <x:c r="I27" s="23" t="str">
        <x:v>Delivery</x:v>
      </x:c>
      <x:c r="J27" s="23" t="n">
        <x:v>1</x:v>
      </x:c>
      <x:c r="K27" s="23" t="n">
        <x:v>26</x:v>
      </x:c>
      <x:c r="L27" s="23" t="n">
        <x:v>6975</x:v>
      </x:c>
      <x:c r="M27" s="20" t="str">
        <x:v>possible</x:v>
      </x:c>
      <x:c r="N27" s="23" t="n">
        <x:v>0</x:v>
      </x:c>
      <x:c r="O27" s="23" t="n">
        <x:v>8330429</x:v>
      </x:c>
      <x:c r="P27" s="23" t="n">
        <x:v>0</x:v>
      </x:c>
      <x:c r="Q27" s="23" t="n">
        <x:v>0</x:v>
      </x:c>
      <x:c r="R27" s="24" t="b">
        <x:v>1</x:v>
      </x:c>
      <x:c r="S27" s="23" t="n">
        <x:v>1542000</x:v>
      </x:c>
      <x:c r="T27" s="24" t="b">
        <x:v>1</x:v>
      </x:c>
      <x:c r="U27" s="24" t="b">
        <x:v>0</x:v>
      </x:c>
      <x:c r="V27" s="25" t="n">
        <x:f>N27+1.5*O27+3*P27+3*Q27</x:f>
        <x:v>12495643.5</x:v>
      </x:c>
      <x:c r="W27" s="25" t="n">
        <x:f>S27*3</x:f>
        <x:v>4626000</x:v>
      </x:c>
      <x:c r="X27" s="25" t="n">
        <x:f>IF(Z27="No",0,V27-W27)</x:f>
        <x:v>7869643.5</x:v>
      </x:c>
      <x:c r="Y27" s="26" t="n">
        <x:f>IF(Z27="No",0,IFERROR(V27/W27,0))</x:f>
        <x:v>2.701176718547341</x:v>
      </x:c>
      <x:c r="Z27" s="27" t="str">
        <x:f>IF(AND(U27=TRUE,V27=0),"No","Yes")</x:f>
        <x:v>Yes</x:v>
      </x:c>
      <x:c r="AA27" s="27" t="str">
        <x:f>IF(Z27="No","Not comparable",IF(X27&gt;0,"Yes","No"))</x:f>
        <x:v>Yes</x:v>
      </x:c>
    </x:row>
    <x:row r="28">
      <x:c r="A28" s="20" t="str">
        <x:v>defend-658-pvp-2star</x:v>
      </x:c>
      <x:c r="B28" s="21" t="n">
        <x:v>46296</x:v>
      </x:c>
      <x:c r="C28" s="22" t="n">
        <x:v>50</x:v>
      </x:c>
      <x:c r="D28" s="20" t="str">
        <x:v>PTS scan card</x:v>
      </x:c>
      <x:c r="E28" s="20" t="str">
        <x:v>Defend</x:v>
      </x:c>
      <x:c r="F28" s="20" t="str">
        <x:v>PvP</x:v>
      </x:c>
      <x:c r="G28" s="23" t="n">
        <x:v>2</x:v>
      </x:c>
      <x:c r="H28" s="23" t="n">
        <x:v>658</x:v>
      </x:c>
      <x:c r="I28" s="23" t="str">
        <x:v>Combat</x:v>
      </x:c>
      <x:c r="J28" s="23" t="n">
        <x:v>5</x:v>
      </x:c>
      <x:c r="K28" s="23" t="n">
        <x:v>90</x:v>
      </x:c>
      <x:c r="L28" s="23" t="n">
        <x:v>3460</x:v>
      </x:c>
      <x:c r="M28" s="20" t="str">
        <x:v>possible</x:v>
      </x:c>
      <x:c r="N28" s="23" t="n">
        <x:v>0</x:v>
      </x:c>
      <x:c r="O28" s="23" t="n">
        <x:v>0</x:v>
      </x:c>
      <x:c r="P28" s="23" t="n">
        <x:v>0</x:v>
      </x:c>
      <x:c r="Q28" s="23" t="n">
        <x:v>0</x:v>
      </x:c>
      <x:c r="R28" s="24" t="b">
        <x:v>1</x:v>
      </x:c>
      <x:c r="S28" s="23" t="n">
        <x:v>9245000</x:v>
      </x:c>
      <x:c r="T28" s="24" t="b">
        <x:v>1</x:v>
      </x:c>
      <x:c r="U28" s="24" t="b">
        <x:v>1</x:v>
      </x:c>
      <x:c r="V28" s="25" t="n">
        <x:f>N28+1.5*O28+3*P28+3*Q28</x:f>
        <x:v>0</x:v>
      </x:c>
      <x:c r="W28" s="25" t="n">
        <x:f>S28*3</x:f>
        <x:v>27735000</x:v>
      </x:c>
      <x:c r="X28" s="25" t="n">
        <x:f>IF(Z28="No",0,V28-W28)</x:f>
        <x:v>0</x:v>
      </x:c>
      <x:c r="Y28" s="26" t="n">
        <x:f>IF(Z28="No",0,IFERROR(V28/W28,0))</x:f>
        <x:v>0</x:v>
      </x:c>
      <x:c r="Z28" s="27" t="str">
        <x:f>IF(AND(U28=TRUE,V28=0),"No","Yes")</x:f>
        <x:v>No</x:v>
      </x:c>
      <x:c r="AA28" s="27" t="str">
        <x:f>IF(Z28="No","Not comparable",IF(X28&gt;0,"Yes","No"))</x:f>
        <x:v>Not comparable</x:v>
      </x:c>
    </x:row>
    <x:row r="29">
      <x:c r="A29" s="20" t="str">
        <x:v>small-alien-encounter-501-pve-5star</x:v>
      </x:c>
      <x:c r="B29" s="21" t="n">
        <x:v>46296</x:v>
      </x:c>
      <x:c r="C29" s="22" t="n">
        <x:v>50</x:v>
      </x:c>
      <x:c r="D29" s="20" t="str">
        <x:v>PTS scan card</x:v>
      </x:c>
      <x:c r="E29" s="20" t="str">
        <x:v>Small Alien Encounter</x:v>
      </x:c>
      <x:c r="F29" s="20" t="str">
        <x:v>PvE</x:v>
      </x:c>
      <x:c r="G29" s="23" t="n">
        <x:v>5</x:v>
      </x:c>
      <x:c r="H29" s="23" t="n">
        <x:v>501</x:v>
      </x:c>
      <x:c r="I29" s="23" t="str">
        <x:v>Combat</x:v>
      </x:c>
      <x:c r="J29" s="23" t="n">
        <x:v>4</x:v>
      </x:c>
      <x:c r="K29" s="23" t="n">
        <x:v>90</x:v>
      </x:c>
      <x:c r="L29" s="23" t="n">
        <x:v>3270</x:v>
      </x:c>
      <x:c r="M29" s="20" t="str">
        <x:v>possible</x:v>
      </x:c>
      <x:c r="N29" s="23" t="n">
        <x:v>0</x:v>
      </x:c>
      <x:c r="O29" s="23" t="n">
        <x:v>18575234</x:v>
      </x:c>
      <x:c r="P29" s="23" t="n">
        <x:v>0</x:v>
      </x:c>
      <x:c r="Q29" s="23" t="n">
        <x:v>0</x:v>
      </x:c>
      <x:c r="R29" s="24" t="b">
        <x:v>1</x:v>
      </x:c>
      <x:c r="S29" s="23" t="n">
        <x:v>14079000</x:v>
      </x:c>
      <x:c r="T29" s="24" t="b">
        <x:v>1</x:v>
      </x:c>
      <x:c r="U29" s="24" t="b">
        <x:v>1</x:v>
      </x:c>
      <x:c r="V29" s="25" t="n">
        <x:f>N29+1.5*O29+3*P29+3*Q29</x:f>
        <x:v>27862851</x:v>
      </x:c>
      <x:c r="W29" s="25" t="n">
        <x:f>S29*3</x:f>
        <x:v>42237000</x:v>
      </x:c>
      <x:c r="X29" s="25" t="n">
        <x:f>IF(Z29="No",0,V29-W29)</x:f>
        <x:v>-14374149</x:v>
      </x:c>
      <x:c r="Y29" s="26" t="n">
        <x:f>IF(Z29="No",0,IFERROR(V29/W29,0))</x:f>
        <x:v>0.6596787413878826</x:v>
      </x:c>
      <x:c r="Z29" s="27" t="str">
        <x:f>IF(AND(U29=TRUE,V29=0),"No","Yes")</x:f>
        <x:v>Yes</x:v>
      </x:c>
      <x:c r="AA29" s="27" t="str">
        <x:f>IF(Z29="No","Not comparable",IF(X29&gt;0,"Yes","No"))</x:f>
        <x:v>No</x:v>
      </x:c>
    </x:row>
    <x:row r="30">
      <x:c r="A30" s="20" t="str">
        <x:v>chaos-mission-669-pve-4star</x:v>
      </x:c>
      <x:c r="B30" s="21" t="n">
        <x:v>46296</x:v>
      </x:c>
      <x:c r="C30" s="22" t="n">
        <x:v>150</x:v>
      </x:c>
      <x:c r="D30" s="20" t="str">
        <x:v>PTS scan card</x:v>
      </x:c>
      <x:c r="E30" s="20" t="str">
        <x:v>Chaos Mission</x:v>
      </x:c>
      <x:c r="F30" s="20" t="str">
        <x:v>PvE</x:v>
      </x:c>
      <x:c r="G30" s="23" t="n">
        <x:v>4</x:v>
      </x:c>
      <x:c r="H30" s="23" t="n">
        <x:v>669</x:v>
      </x:c>
      <x:c r="I30" s="23" t="str">
        <x:v>Combat</x:v>
      </x:c>
      <x:c r="J30" s="23" t="n">
        <x:v>2</x:v>
      </x:c>
      <x:c r="K30" s="23" t="n">
        <x:v>62</x:v>
      </x:c>
      <x:c r="L30" s="23" t="n">
        <x:v>13055</x:v>
      </x:c>
      <x:c r="M30" s="20" t="str">
        <x:v>possible</x:v>
      </x:c>
      <x:c r="N30" s="23" t="n">
        <x:v>14752395</x:v>
      </x:c>
      <x:c r="O30" s="23" t="n">
        <x:v>6568482</x:v>
      </x:c>
      <x:c r="P30" s="23" t="n">
        <x:v>2203767</x:v>
      </x:c>
      <x:c r="Q30" s="23" t="n">
        <x:v>0</x:v>
      </x:c>
      <x:c r="R30" s="24" t="b">
        <x:v>1</x:v>
      </x:c>
      <x:c r="S30" s="23" t="n">
        <x:v>7520000</x:v>
      </x:c>
      <x:c r="T30" s="24" t="b">
        <x:v>1</x:v>
      </x:c>
      <x:c r="U30" s="24" t="b">
        <x:v>1</x:v>
      </x:c>
      <x:c r="V30" s="25" t="n">
        <x:f>N30+1.5*O30+3*P30+3*Q30</x:f>
        <x:v>31216419</x:v>
      </x:c>
      <x:c r="W30" s="25" t="n">
        <x:f>S30*3</x:f>
        <x:v>22560000</x:v>
      </x:c>
      <x:c r="X30" s="25" t="n">
        <x:f>IF(Z30="No",0,V30-W30)</x:f>
        <x:v>8656419</x:v>
      </x:c>
      <x:c r="Y30" s="26" t="n">
        <x:f>IF(Z30="No",0,IFERROR(V30/W30,0))</x:f>
        <x:v>1.3837065159574469</x:v>
      </x:c>
      <x:c r="Z30" s="27" t="str">
        <x:f>IF(AND(U30=TRUE,V30=0),"No","Yes")</x:f>
        <x:v>Yes</x:v>
      </x:c>
      <x:c r="AA30" s="27" t="str">
        <x:f>IF(Z30="No","Not comparable",IF(X30&gt;0,"Yes","No"))</x:f>
        <x:v>Yes</x:v>
      </x:c>
    </x:row>
    <x:row r="31">
      <x:c r="A31" s="20" t="str">
        <x:v>medium-pirate-encounter-542-pvp-1star</x:v>
      </x:c>
      <x:c r="B31" s="21" t="n">
        <x:v>46296</x:v>
      </x:c>
      <x:c r="C31" s="22" t="n">
        <x:v>150</x:v>
      </x:c>
      <x:c r="D31" s="20" t="str">
        <x:v>PTS scan card</x:v>
      </x:c>
      <x:c r="E31" s="20" t="str">
        <x:v>Medium Pirate Encounter</x:v>
      </x:c>
      <x:c r="F31" s="20" t="str">
        <x:v>PvP</x:v>
      </x:c>
      <x:c r="G31" s="23" t="n">
        <x:v>1</x:v>
      </x:c>
      <x:c r="H31" s="23" t="n">
        <x:v>542</x:v>
      </x:c>
      <x:c r="I31" s="23" t="str">
        <x:v>Combat</x:v>
      </x:c>
      <x:c r="J31" s="23" t="n">
        <x:v>3</x:v>
      </x:c>
      <x:c r="K31" s="23" t="n">
        <x:v>86</x:v>
      </x:c>
      <x:c r="L31" s="23" t="n">
        <x:v>8020</x:v>
      </x:c>
      <x:c r="M31" s="20" t="str">
        <x:v>possible</x:v>
      </x:c>
      <x:c r="N31" s="23" t="n">
        <x:v>13643518</x:v>
      </x:c>
      <x:c r="O31" s="23" t="n">
        <x:v>0</x:v>
      </x:c>
      <x:c r="P31" s="23" t="n">
        <x:v>0</x:v>
      </x:c>
      <x:c r="Q31" s="23" t="n">
        <x:v>0</x:v>
      </x:c>
      <x:c r="R31" s="24" t="b">
        <x:v>1</x:v>
      </x:c>
      <x:c r="S31" s="23" t="n">
        <x:v>2284000</x:v>
      </x:c>
      <x:c r="T31" s="24" t="b">
        <x:v>1</x:v>
      </x:c>
      <x:c r="U31" s="24" t="b">
        <x:v>1</x:v>
      </x:c>
      <x:c r="V31" s="25" t="n">
        <x:f>N31+1.5*O31+3*P31+3*Q31</x:f>
        <x:v>13643518</x:v>
      </x:c>
      <x:c r="W31" s="25" t="n">
        <x:f>S31*3</x:f>
        <x:v>6852000</x:v>
      </x:c>
      <x:c r="X31" s="25" t="n">
        <x:f>IF(Z31="No",0,V31-W31)</x:f>
        <x:v>6791518</x:v>
      </x:c>
      <x:c r="Y31" s="26" t="n">
        <x:f>IF(Z31="No",0,IFERROR(V31/W31,0))</x:f>
        <x:v>1.9911730881494454</x:v>
      </x:c>
      <x:c r="Z31" s="27" t="str">
        <x:f>IF(AND(U31=TRUE,V31=0),"No","Yes")</x:f>
        <x:v>Yes</x:v>
      </x:c>
      <x:c r="AA31" s="27" t="str">
        <x:f>IF(Z31="No","Not comparable",IF(X31&gt;0,"Yes","No"))</x:f>
        <x:v>Yes</x:v>
      </x:c>
    </x:row>
    <x:row r="32">
      <x:c r="A32" s="20" t="str">
        <x:v>medium-alien-encounter-490-pve-4star</x:v>
      </x:c>
      <x:c r="B32" s="21" t="n">
        <x:v>46296</x:v>
      </x:c>
      <x:c r="C32" s="22" t="n">
        <x:v>150</x:v>
      </x:c>
      <x:c r="D32" s="20" t="str">
        <x:v>PTS scan card</x:v>
      </x:c>
      <x:c r="E32" s="20" t="str">
        <x:v>Medium Alien Encounter</x:v>
      </x:c>
      <x:c r="F32" s="20" t="str">
        <x:v>PvE</x:v>
      </x:c>
      <x:c r="G32" s="23" t="n">
        <x:v>4</x:v>
      </x:c>
      <x:c r="H32" s="23" t="n">
        <x:v>490</x:v>
      </x:c>
      <x:c r="I32" s="23" t="str">
        <x:v>Combat</x:v>
      </x:c>
      <x:c r="J32" s="23" t="n">
        <x:v>3</x:v>
      </x:c>
      <x:c r="K32" s="23" t="n">
        <x:v>93</x:v>
      </x:c>
      <x:c r="L32" s="23" t="n">
        <x:v>14290</x:v>
      </x:c>
      <x:c r="M32" s="20" t="str">
        <x:v>possible</x:v>
      </x:c>
      <x:c r="N32" s="23" t="n">
        <x:v>11453504</x:v>
      </x:c>
      <x:c r="O32" s="23" t="n">
        <x:v>5099654</x:v>
      </x:c>
      <x:c r="P32" s="23" t="n">
        <x:v>6743221</x:v>
      </x:c>
      <x:c r="Q32" s="23" t="n">
        <x:v>0</x:v>
      </x:c>
      <x:c r="R32" s="24" t="b">
        <x:v>1</x:v>
      </x:c>
      <x:c r="S32" s="23" t="n">
        <x:v>8262000</x:v>
      </x:c>
      <x:c r="T32" s="24" t="b">
        <x:v>1</x:v>
      </x:c>
      <x:c r="U32" s="24" t="b">
        <x:v>0</x:v>
      </x:c>
      <x:c r="V32" s="25" t="n">
        <x:f>N32+1.5*O32+3*P32+3*Q32</x:f>
        <x:v>39332648</x:v>
      </x:c>
      <x:c r="W32" s="25" t="n">
        <x:f>S32*3</x:f>
        <x:v>24786000</x:v>
      </x:c>
      <x:c r="X32" s="25" t="n">
        <x:f>IF(Z32="No",0,V32-W32)</x:f>
        <x:v>14546648</x:v>
      </x:c>
      <x:c r="Y32" s="26" t="n">
        <x:f>IF(Z32="No",0,IFERROR(V32/W32,0))</x:f>
        <x:v>1.586889695796014</x:v>
      </x:c>
      <x:c r="Z32" s="27" t="str">
        <x:f>IF(AND(U32=TRUE,V32=0),"No","Yes")</x:f>
        <x:v>Yes</x:v>
      </x:c>
      <x:c r="AA32" s="27" t="str">
        <x:f>IF(Z32="No","Not comparable",IF(X32&gt;0,"Yes","No"))</x:f>
        <x:v>Yes</x:v>
      </x:c>
    </x:row>
    <x:row r="33">
      <x:c r="A33" s="20" t="str">
        <x:v>small-alien-encounter-620-pve-1star</x:v>
      </x:c>
      <x:c r="B33" s="21" t="n">
        <x:v>46296</x:v>
      </x:c>
      <x:c r="C33" s="22" t="n">
        <x:v>150</x:v>
      </x:c>
      <x:c r="D33" s="20" t="str">
        <x:v>PTS scan card</x:v>
      </x:c>
      <x:c r="E33" s="20" t="str">
        <x:v>Small Alien Encounter</x:v>
      </x:c>
      <x:c r="F33" s="20" t="str">
        <x:v>PvE</x:v>
      </x:c>
      <x:c r="G33" s="23" t="n">
        <x:v>1</x:v>
      </x:c>
      <x:c r="H33" s="23" t="n">
        <x:v>620</x:v>
      </x:c>
      <x:c r="I33" s="23" t="str">
        <x:v>Combat</x:v>
      </x:c>
      <x:c r="J33" s="23" t="n">
        <x:v>1</x:v>
      </x:c>
      <x:c r="K33" s="23" t="n">
        <x:v>32</x:v>
      </x:c>
      <x:c r="L33" s="23" t="n">
        <x:v>10015</x:v>
      </x:c>
      <x:c r="M33" s="20" t="str">
        <x:v>possible</x:v>
      </x:c>
      <x:c r="N33" s="23" t="n">
        <x:v>3218148</x:v>
      </x:c>
      <x:c r="O33" s="23" t="n">
        <x:v>0</x:v>
      </x:c>
      <x:c r="P33" s="23" t="n">
        <x:v>0</x:v>
      </x:c>
      <x:c r="Q33" s="23" t="n">
        <x:v>0</x:v>
      </x:c>
      <x:c r="R33" s="24" t="b">
        <x:v>1</x:v>
      </x:c>
      <x:c r="S33" s="23" t="n">
        <x:v>871175</x:v>
      </x:c>
      <x:c r="T33" s="24" t="b">
        <x:v>0</x:v>
      </x:c>
      <x:c r="U33" s="24" t="b">
        <x:v>0</x:v>
      </x:c>
      <x:c r="V33" s="25" t="n">
        <x:f>N33+1.5*O33+3*P33+3*Q33</x:f>
        <x:v>3218148</x:v>
      </x:c>
      <x:c r="W33" s="25" t="n">
        <x:f>S33*3</x:f>
        <x:v>2613525</x:v>
      </x:c>
      <x:c r="X33" s="25" t="n">
        <x:f>IF(Z33="No",0,V33-W33)</x:f>
        <x:v>604623</x:v>
      </x:c>
      <x:c r="Y33" s="26" t="n">
        <x:f>IF(Z33="No",0,IFERROR(V33/W33,0))</x:f>
        <x:v>1.2313438746520504</x:v>
      </x:c>
      <x:c r="Z33" s="27" t="str">
        <x:f>IF(AND(U33=TRUE,V33=0),"No","Yes")</x:f>
        <x:v>Yes</x:v>
      </x:c>
      <x:c r="AA33" s="27" t="str">
        <x:f>IF(Z33="No","Not comparable",IF(X33&gt;0,"Yes","No"))</x:f>
        <x:v>Yes</x:v>
      </x:c>
    </x:row>
    <x:row r="34">
      <x:c r="A34" s="20" t="str">
        <x:v>valuable-delivery-486-pvp-1star</x:v>
      </x:c>
      <x:c r="B34" s="21" t="n">
        <x:v>46296</x:v>
      </x:c>
      <x:c r="C34" s="22" t="n">
        <x:v>150</x:v>
      </x:c>
      <x:c r="D34" s="20" t="str">
        <x:v>PTS scan card</x:v>
      </x:c>
      <x:c r="E34" s="20" t="str">
        <x:v>Valuable Delivery</x:v>
      </x:c>
      <x:c r="F34" s="20" t="str">
        <x:v>PvP</x:v>
      </x:c>
      <x:c r="G34" s="23" t="n">
        <x:v>1</x:v>
      </x:c>
      <x:c r="H34" s="23" t="n">
        <x:v>486</x:v>
      </x:c>
      <x:c r="I34" s="23" t="str">
        <x:v>Delivery</x:v>
      </x:c>
      <x:c r="J34" s="23" t="n">
        <x:v>1</x:v>
      </x:c>
      <x:c r="K34" s="23" t="n">
        <x:v>45</x:v>
      </x:c>
      <x:c r="L34" s="23" t="n">
        <x:v>16380</x:v>
      </x:c>
      <x:c r="M34" s="20" t="str">
        <x:v>possible</x:v>
      </x:c>
      <x:c r="N34" s="23" t="n">
        <x:v>2312396</x:v>
      </x:c>
      <x:c r="O34" s="23" t="n">
        <x:v>1029590</x:v>
      </x:c>
      <x:c r="P34" s="23" t="n">
        <x:v>345434</x:v>
      </x:c>
      <x:c r="Q34" s="23" t="n">
        <x:v>0</x:v>
      </x:c>
      <x:c r="R34" s="24" t="b">
        <x:v>1</x:v>
      </x:c>
      <x:c r="S34" s="23" t="n">
        <x:v>682889</x:v>
      </x:c>
      <x:c r="T34" s="24" t="b">
        <x:v>0</x:v>
      </x:c>
      <x:c r="U34" s="24" t="b">
        <x:v>0</x:v>
      </x:c>
      <x:c r="V34" s="25" t="n">
        <x:f>N34+1.5*O34+3*P34+3*Q34</x:f>
        <x:v>4893083</x:v>
      </x:c>
      <x:c r="W34" s="25" t="n">
        <x:f>S34*3</x:f>
        <x:v>2048667</x:v>
      </x:c>
      <x:c r="X34" s="25" t="n">
        <x:f>IF(Z34="No",0,V34-W34)</x:f>
        <x:v>2844416</x:v>
      </x:c>
      <x:c r="Y34" s="26" t="n">
        <x:f>IF(Z34="No",0,IFERROR(V34/W34,0))</x:f>
        <x:v>2.3884228134684653</x:v>
      </x:c>
      <x:c r="Z34" s="27" t="str">
        <x:f>IF(AND(U34=TRUE,V34=0),"No","Yes")</x:f>
        <x:v>Yes</x:v>
      </x:c>
      <x:c r="AA34" s="27" t="str">
        <x:f>IF(Z34="No","Not comparable",IF(X34&gt;0,"Yes","No"))</x:f>
        <x:v>Yes</x:v>
      </x:c>
    </x:row>
    <x:row r="35">
      <x:c r="A35" s="20" t="str">
        <x:v>mysterious-nebula-499-pvp-1star</x:v>
      </x:c>
      <x:c r="B35" s="21" t="n">
        <x:v>46296</x:v>
      </x:c>
      <x:c r="C35" s="22" t="n">
        <x:v>150</x:v>
      </x:c>
      <x:c r="D35" s="20" t="str">
        <x:v>PTS scan card</x:v>
      </x:c>
      <x:c r="E35" s="20" t="str">
        <x:v>Mysterious Nebula</x:v>
      </x:c>
      <x:c r="F35" s="20" t="str">
        <x:v>PvP</x:v>
      </x:c>
      <x:c r="G35" s="23" t="n">
        <x:v>1</x:v>
      </x:c>
      <x:c r="H35" s="23" t="n">
        <x:v>499</x:v>
      </x:c>
      <x:c r="I35" s="23" t="str">
        <x:v>Delivery</x:v>
      </x:c>
      <x:c r="J35" s="23" t="n">
        <x:v>6</x:v>
      </x:c>
      <x:c r="K35" s="23" t="n">
        <x:v>239</x:v>
      </x:c>
      <x:c r="L35" s="23" t="n">
        <x:v>4600</x:v>
      </x:c>
      <x:c r="M35" s="20" t="str">
        <x:v>possible</x:v>
      </x:c>
      <x:c r="N35" s="23" t="n">
        <x:v>6162050</x:v>
      </x:c>
      <x:c r="O35" s="23" t="n">
        <x:v>2743642</x:v>
      </x:c>
      <x:c r="P35" s="23" t="n">
        <x:v>920508</x:v>
      </x:c>
      <x:c r="Q35" s="23" t="n">
        <x:v>2054016</x:v>
      </x:c>
      <x:c r="R35" s="24" t="b">
        <x:v>1</x:v>
      </x:c>
      <x:c r="S35" s="23" t="n">
        <x:v>4206000</x:v>
      </x:c>
      <x:c r="T35" s="24" t="b">
        <x:v>1</x:v>
      </x:c>
      <x:c r="U35" s="24" t="b">
        <x:v>1</x:v>
      </x:c>
      <x:c r="V35" s="25" t="n">
        <x:f>N35+1.5*O35+3*P35+3*Q35</x:f>
        <x:v>19201085</x:v>
      </x:c>
      <x:c r="W35" s="25" t="n">
        <x:f>S35*3</x:f>
        <x:v>12618000</x:v>
      </x:c>
      <x:c r="X35" s="25" t="n">
        <x:f>IF(Z35="No",0,V35-W35)</x:f>
        <x:v>6583085</x:v>
      </x:c>
      <x:c r="Y35" s="26" t="n">
        <x:f>IF(Z35="No",0,IFERROR(V35/W35,0))</x:f>
        <x:v>1.5217217467110478</x:v>
      </x:c>
      <x:c r="Z35" s="27" t="str">
        <x:f>IF(AND(U35=TRUE,V35=0),"No","Yes")</x:f>
        <x:v>Yes</x:v>
      </x:c>
      <x:c r="AA35" s="27" t="str">
        <x:f>IF(Z35="No","Not comparable",IF(X35&gt;0,"Yes","No"))</x:f>
        <x:v>Yes</x:v>
      </x:c>
    </x:row>
    <x:row r="36">
      <x:c r="A36" s="20" t="str">
        <x:v>medium-alien-encounter-617-pve-1star</x:v>
      </x:c>
      <x:c r="B36" s="21" t="n">
        <x:v>46296</x:v>
      </x:c>
      <x:c r="C36" s="22" t="n">
        <x:v>150</x:v>
      </x:c>
      <x:c r="D36" s="20" t="str">
        <x:v>PTS scan card</x:v>
      </x:c>
      <x:c r="E36" s="20" t="str">
        <x:v>Medium Alien Encounter</x:v>
      </x:c>
      <x:c r="F36" s="20" t="str">
        <x:v>PvE</x:v>
      </x:c>
      <x:c r="G36" s="23" t="n">
        <x:v>1</x:v>
      </x:c>
      <x:c r="H36" s="23" t="n">
        <x:v>617</x:v>
      </x:c>
      <x:c r="I36" s="23" t="str">
        <x:v>Combat</x:v>
      </x:c>
      <x:c r="J36" s="23" t="n">
        <x:v>1</x:v>
      </x:c>
      <x:c r="K36" s="23" t="n">
        <x:v>28</x:v>
      </x:c>
      <x:c r="L36" s="23" t="n">
        <x:v>4695</x:v>
      </x:c>
      <x:c r="M36" s="20" t="str">
        <x:v>possible</x:v>
      </x:c>
      <x:c r="N36" s="23" t="n">
        <x:v>0</x:v>
      </x:c>
      <x:c r="O36" s="23" t="n">
        <x:v>2340563</x:v>
      </x:c>
      <x:c r="P36" s="23" t="n">
        <x:v>0</x:v>
      </x:c>
      <x:c r="Q36" s="23" t="n">
        <x:v>0</x:v>
      </x:c>
      <x:c r="R36" s="24" t="b">
        <x:v>1</x:v>
      </x:c>
      <x:c r="S36" s="23" t="n">
        <x:v>866960</x:v>
      </x:c>
      <x:c r="T36" s="24" t="b">
        <x:v>0</x:v>
      </x:c>
      <x:c r="U36" s="24" t="b">
        <x:v>0</x:v>
      </x:c>
      <x:c r="V36" s="25" t="n">
        <x:f>N36+1.5*O36+3*P36+3*Q36</x:f>
        <x:v>3510844.5</x:v>
      </x:c>
      <x:c r="W36" s="25" t="n">
        <x:f>S36*3</x:f>
        <x:v>2600880</x:v>
      </x:c>
      <x:c r="X36" s="25" t="n">
        <x:f>IF(Z36="No",0,V36-W36)</x:f>
        <x:v>909964.5</x:v>
      </x:c>
      <x:c r="Y36" s="26" t="n">
        <x:f>IF(Z36="No",0,IFERROR(V36/W36,0))</x:f>
        <x:v>1.3498679293162315</x:v>
      </x:c>
      <x:c r="Z36" s="27" t="str">
        <x:f>IF(AND(U36=TRUE,V36=0),"No","Yes")</x:f>
        <x:v>Yes</x:v>
      </x:c>
      <x:c r="AA36" s="27" t="str">
        <x:f>IF(Z36="No","Not comparable",IF(X36&gt;0,"Yes","No"))</x:f>
        <x:v>Yes</x:v>
      </x:c>
    </x:row>
    <x:row r="37">
      <x:c r="A37" s="20" t="str">
        <x:v>small-alien-encounter-655-pvp-4star</x:v>
      </x:c>
      <x:c r="B37" s="21" t="n">
        <x:v>46296</x:v>
      </x:c>
      <x:c r="C37" s="22" t="n">
        <x:v>150</x:v>
      </x:c>
      <x:c r="D37" s="20" t="str">
        <x:v>PTS scan card</x:v>
      </x:c>
      <x:c r="E37" s="20" t="str">
        <x:v>Small Alien Encounter</x:v>
      </x:c>
      <x:c r="F37" s="20" t="str">
        <x:v>PvP</x:v>
      </x:c>
      <x:c r="G37" s="23" t="n">
        <x:v>4</x:v>
      </x:c>
      <x:c r="H37" s="23" t="n">
        <x:v>655</x:v>
      </x:c>
      <x:c r="I37" s="23" t="str">
        <x:v>Combat</x:v>
      </x:c>
      <x:c r="J37" s="23" t="n">
        <x:v>5</x:v>
      </x:c>
      <x:c r="K37" s="23" t="n">
        <x:v>134</x:v>
      </x:c>
      <x:c r="L37" s="23" t="n">
        <x:v>5930</x:v>
      </x:c>
      <x:c r="M37" s="20" t="str">
        <x:v>possible</x:v>
      </x:c>
      <x:c r="N37" s="23" t="n">
        <x:v>29331771</x:v>
      </x:c>
      <x:c r="O37" s="23" t="n">
        <x:v>59363307</x:v>
      </x:c>
      <x:c r="P37" s="23" t="n">
        <x:v>0</x:v>
      </x:c>
      <x:c r="Q37" s="23" t="n">
        <x:v>0</x:v>
      </x:c>
      <x:c r="R37" s="24" t="b">
        <x:v>1</x:v>
      </x:c>
      <x:c r="S37" s="23" t="n">
        <x:v>18407000</x:v>
      </x:c>
      <x:c r="T37" s="24" t="b">
        <x:v>1</x:v>
      </x:c>
      <x:c r="U37" s="24" t="b">
        <x:v>1</x:v>
      </x:c>
      <x:c r="V37" s="25" t="n">
        <x:f>N37+1.5*O37+3*P37+3*Q37</x:f>
        <x:v>118376731.5</x:v>
      </x:c>
      <x:c r="W37" s="25" t="n">
        <x:f>S37*3</x:f>
        <x:v>55221000</x:v>
      </x:c>
      <x:c r="X37" s="25" t="n">
        <x:f>IF(Z37="No",0,V37-W37)</x:f>
        <x:v>63155731.5</x:v>
      </x:c>
      <x:c r="Y37" s="26" t="n">
        <x:f>IF(Z37="No",0,IFERROR(V37/W37,0))</x:f>
        <x:v>2.1436904710164613</x:v>
      </x:c>
      <x:c r="Z37" s="27" t="str">
        <x:f>IF(AND(U37=TRUE,V37=0),"No","Yes")</x:f>
        <x:v>Yes</x:v>
      </x:c>
      <x:c r="AA37" s="27" t="str">
        <x:f>IF(Z37="No","Not comparable",IF(X37&gt;0,"Yes","No"))</x:f>
        <x:v>Yes</x:v>
      </x:c>
    </x:row>
    <x:row r="38">
      <x:c r="A38" s="20" t="str">
        <x:v>small-alien-encounter-534-pve-3star</x:v>
      </x:c>
      <x:c r="B38" s="21" t="n">
        <x:v>46296</x:v>
      </x:c>
      <x:c r="C38" s="22" t="n">
        <x:v>150</x:v>
      </x:c>
      <x:c r="D38" s="20" t="str">
        <x:v>PTS scan card</x:v>
      </x:c>
      <x:c r="E38" s="20" t="str">
        <x:v>Small Alien Encounter</x:v>
      </x:c>
      <x:c r="F38" s="20" t="str">
        <x:v>PvE</x:v>
      </x:c>
      <x:c r="G38" s="23" t="n">
        <x:v>3</x:v>
      </x:c>
      <x:c r="H38" s="23" t="n">
        <x:v>534</x:v>
      </x:c>
      <x:c r="I38" s="23" t="str">
        <x:v>Combat</x:v>
      </x:c>
      <x:c r="J38" s="23" t="n">
        <x:v>2</x:v>
      </x:c>
      <x:c r="K38" s="23" t="n">
        <x:v>61</x:v>
      </x:c>
      <x:c r="L38" s="23" t="n">
        <x:v>6785</x:v>
      </x:c>
      <x:c r="M38" s="20" t="str">
        <x:v>possible</x:v>
      </x:c>
      <x:c r="N38" s="23" t="n">
        <x:v>8478329</x:v>
      </x:c>
      <x:c r="O38" s="23" t="n">
        <x:v>0</x:v>
      </x:c>
      <x:c r="P38" s="23" t="n">
        <x:v>0</x:v>
      </x:c>
      <x:c r="Q38" s="23" t="n">
        <x:v>0</x:v>
      </x:c>
      <x:c r="R38" s="24" t="b">
        <x:v>1</x:v>
      </x:c>
      <x:c r="S38" s="23" t="n">
        <x:v>4502000</x:v>
      </x:c>
      <x:c r="T38" s="24" t="b">
        <x:v>1</x:v>
      </x:c>
      <x:c r="U38" s="24" t="b">
        <x:v>1</x:v>
      </x:c>
      <x:c r="V38" s="25" t="n">
        <x:f>N38+1.5*O38+3*P38+3*Q38</x:f>
        <x:v>8478329</x:v>
      </x:c>
      <x:c r="W38" s="25" t="n">
        <x:f>S38*3</x:f>
        <x:v>13506000</x:v>
      </x:c>
      <x:c r="X38" s="25" t="n">
        <x:f>IF(Z38="No",0,V38-W38)</x:f>
        <x:v>-5027671</x:v>
      </x:c>
      <x:c r="Y38" s="26" t="n">
        <x:f>IF(Z38="No",0,IFERROR(V38/W38,0))</x:f>
        <x:v>0.6277453724270694</x:v>
      </x:c>
      <x:c r="Z38" s="27" t="str">
        <x:f>IF(AND(U38=TRUE,V38=0),"No","Yes")</x:f>
        <x:v>Yes</x:v>
      </x:c>
      <x:c r="AA38" s="27" t="str">
        <x:f>IF(Z38="No","Not comparable",IF(X38&gt;0,"Yes","No"))</x:f>
        <x:v>No</x:v>
      </x:c>
    </x:row>
    <x:row r="39">
      <x:c r="A39" s="20" t="str">
        <x:v>lost-debris-field-527-pvp-5star</x:v>
      </x:c>
      <x:c r="B39" s="21" t="n">
        <x:v>46296</x:v>
      </x:c>
      <x:c r="C39" s="22" t="n">
        <x:v>150</x:v>
      </x:c>
      <x:c r="D39" s="20" t="str">
        <x:v>PTS scan card</x:v>
      </x:c>
      <x:c r="E39" s="20" t="str">
        <x:v>Lost Debris Field</x:v>
      </x:c>
      <x:c r="F39" s="20" t="str">
        <x:v>PvP</x:v>
      </x:c>
      <x:c r="G39" s="23" t="n">
        <x:v>5</x:v>
      </x:c>
      <x:c r="H39" s="23" t="n">
        <x:v>527</x:v>
      </x:c>
      <x:c r="I39" s="23" t="str">
        <x:v>Combat</x:v>
      </x:c>
      <x:c r="J39" s="23" t="n">
        <x:v>3</x:v>
      </x:c>
      <x:c r="K39" s="23" t="n">
        <x:v>85</x:v>
      </x:c>
      <x:c r="L39" s="23" t="n">
        <x:v>16285</x:v>
      </x:c>
      <x:c r="M39" s="20" t="str">
        <x:v>possible</x:v>
      </x:c>
      <x:c r="N39" s="23" t="n">
        <x:v>15397951</x:v>
      </x:c>
      <x:c r="O39" s="23" t="n">
        <x:v>6855914</x:v>
      </x:c>
      <x:c r="P39" s="23" t="n">
        <x:v>2300202</x:v>
      </x:c>
      <x:c r="Q39" s="23" t="n">
        <x:v>0</x:v>
      </x:c>
      <x:c r="R39" s="24" t="b">
        <x:v>1</x:v>
      </x:c>
      <x:c r="S39" s="23" t="n">
        <x:v>11107000</x:v>
      </x:c>
      <x:c r="T39" s="24" t="b">
        <x:v>1</x:v>
      </x:c>
      <x:c r="U39" s="24" t="b">
        <x:v>1</x:v>
      </x:c>
      <x:c r="V39" s="25" t="n">
        <x:f>N39+1.5*O39+3*P39+3*Q39</x:f>
        <x:v>32582428</x:v>
      </x:c>
      <x:c r="W39" s="25" t="n">
        <x:f>S39*3</x:f>
        <x:v>33321000</x:v>
      </x:c>
      <x:c r="X39" s="25" t="n">
        <x:f>IF(Z39="No",0,V39-W39)</x:f>
        <x:v>-738572</x:v>
      </x:c>
      <x:c r="Y39" s="26" t="n">
        <x:f>IF(Z39="No",0,IFERROR(V39/W39,0))</x:f>
        <x:v>0.977834638816362</x:v>
      </x:c>
      <x:c r="Z39" s="27" t="str">
        <x:f>IF(AND(U39=TRUE,V39=0),"No","Yes")</x:f>
        <x:v>Yes</x:v>
      </x:c>
      <x:c r="AA39" s="27" t="str">
        <x:f>IF(Z39="No","Not comparable",IF(X39&gt;0,"Yes","No"))</x:f>
        <x:v>No</x:v>
      </x:c>
    </x:row>
    <x:row r="40">
      <x:c r="A40" s="20" t="str">
        <x:v>valuable-delivery-619-pvp-1star</x:v>
      </x:c>
      <x:c r="B40" s="21" t="n">
        <x:v>46296</x:v>
      </x:c>
      <x:c r="C40" s="22" t="n">
        <x:v>150</x:v>
      </x:c>
      <x:c r="D40" s="20" t="str">
        <x:v>PTS scan card</x:v>
      </x:c>
      <x:c r="E40" s="20" t="str">
        <x:v>Valuable Delivery</x:v>
      </x:c>
      <x:c r="F40" s="20" t="str">
        <x:v>PvP</x:v>
      </x:c>
      <x:c r="G40" s="23" t="n">
        <x:v>1</x:v>
      </x:c>
      <x:c r="H40" s="23" t="n">
        <x:v>619</x:v>
      </x:c>
      <x:c r="I40" s="23" t="str">
        <x:v>Delivery</x:v>
      </x:c>
      <x:c r="J40" s="23" t="n">
        <x:v>3</x:v>
      </x:c>
      <x:c r="K40" s="23" t="n">
        <x:v>125</x:v>
      </x:c>
      <x:c r="L40" s="23" t="n">
        <x:v>4410</x:v>
      </x:c>
      <x:c r="M40" s="20" t="str">
        <x:v>possible</x:v>
      </x:c>
      <x:c r="N40" s="23" t="n">
        <x:v>6121420</x:v>
      </x:c>
      <x:c r="O40" s="23" t="n">
        <x:v>0</x:v>
      </x:c>
      <x:c r="P40" s="23" t="n">
        <x:v>5379060</x:v>
      </x:c>
      <x:c r="Q40" s="23" t="n">
        <x:v>0</x:v>
      </x:c>
      <x:c r="R40" s="24" t="b">
        <x:v>1</x:v>
      </x:c>
      <x:c r="S40" s="23" t="n">
        <x:v>2609000</x:v>
      </x:c>
      <x:c r="T40" s="24" t="b">
        <x:v>1</x:v>
      </x:c>
      <x:c r="U40" s="24" t="b">
        <x:v>0</x:v>
      </x:c>
      <x:c r="V40" s="25" t="n">
        <x:f>N40+1.5*O40+3*P40+3*Q40</x:f>
        <x:v>22258600</x:v>
      </x:c>
      <x:c r="W40" s="25" t="n">
        <x:f>S40*3</x:f>
        <x:v>7827000</x:v>
      </x:c>
      <x:c r="X40" s="25" t="n">
        <x:f>IF(Z40="No",0,V40-W40)</x:f>
        <x:v>14431600</x:v>
      </x:c>
      <x:c r="Y40" s="26" t="n">
        <x:f>IF(Z40="No",0,IFERROR(V40/W40,0))</x:f>
        <x:v>2.843822665133512</x:v>
      </x:c>
      <x:c r="Z40" s="27" t="str">
        <x:f>IF(AND(U40=TRUE,V40=0),"No","Yes")</x:f>
        <x:v>Yes</x:v>
      </x:c>
      <x:c r="AA40" s="27" t="str">
        <x:f>IF(Z40="No","Not comparable",IF(X40&gt;0,"Yes","No"))</x:f>
        <x:v>Yes</x:v>
      </x:c>
    </x:row>
    <x:row r="41">
      <x:c r="A41" s="20" t="str">
        <x:v>delivery-crystal-513-pve-2star</x:v>
      </x:c>
      <x:c r="B41" s="21" t="n">
        <x:v>46296</x:v>
      </x:c>
      <x:c r="C41" s="22" t="n">
        <x:v>150</x:v>
      </x:c>
      <x:c r="D41" s="20" t="str">
        <x:v>PTS scan card</x:v>
      </x:c>
      <x:c r="E41" s="20" t="str">
        <x:v>Delivery: Crystal</x:v>
      </x:c>
      <x:c r="F41" s="20" t="str">
        <x:v>PvE</x:v>
      </x:c>
      <x:c r="G41" s="23" t="n">
        <x:v>2</x:v>
      </x:c>
      <x:c r="H41" s="23" t="n">
        <x:v>513</x:v>
      </x:c>
      <x:c r="I41" s="23" t="str">
        <x:v>Delivery</x:v>
      </x:c>
      <x:c r="J41" s="23" t="n">
        <x:v>2</x:v>
      </x:c>
      <x:c r="K41" s="23" t="n">
        <x:v>80</x:v>
      </x:c>
      <x:c r="L41" s="23" t="n">
        <x:v>8685</x:v>
      </x:c>
      <x:c r="M41" s="20" t="str">
        <x:v>possible</x:v>
      </x:c>
      <x:c r="N41" s="23" t="n">
        <x:v>0</x:v>
      </x:c>
      <x:c r="O41" s="23" t="n">
        <x:v>7936806</x:v>
      </x:c>
      <x:c r="P41" s="23" t="n">
        <x:v>0</x:v>
      </x:c>
      <x:c r="Q41" s="23" t="n">
        <x:v>0</x:v>
      </x:c>
      <x:c r="R41" s="24" t="b">
        <x:v>1</x:v>
      </x:c>
      <x:c r="S41" s="23" t="n">
        <x:v>2883000</x:v>
      </x:c>
      <x:c r="T41" s="24" t="b">
        <x:v>1</x:v>
      </x:c>
      <x:c r="U41" s="24" t="b">
        <x:v>0</x:v>
      </x:c>
      <x:c r="V41" s="25" t="n">
        <x:f>N41+1.5*O41+3*P41+3*Q41</x:f>
        <x:v>11905209</x:v>
      </x:c>
      <x:c r="W41" s="25" t="n">
        <x:f>S41*3</x:f>
        <x:v>8649000</x:v>
      </x:c>
      <x:c r="X41" s="25" t="n">
        <x:f>IF(Z41="No",0,V41-W41)</x:f>
        <x:v>3256209</x:v>
      </x:c>
      <x:c r="Y41" s="26" t="n">
        <x:f>IF(Z41="No",0,IFERROR(V41/W41,0))</x:f>
        <x:v>1.3764838709677418</x:v>
      </x:c>
      <x:c r="Z41" s="27" t="str">
        <x:f>IF(AND(U41=TRUE,V41=0),"No","Yes")</x:f>
        <x:v>Yes</x:v>
      </x:c>
      <x:c r="AA41" s="27" t="str">
        <x:f>IF(Z41="No","Not comparable",IF(X41&gt;0,"Yes","No"))</x:f>
        <x:v>Yes</x:v>
      </x:c>
    </x:row>
    <x:row r="42">
      <x:c r="A42" s="20" t="str">
        <x:v>medium-alien-encounter-373-pvp-1star</x:v>
      </x:c>
      <x:c r="B42" s="21" t="n">
        <x:v>46296</x:v>
      </x:c>
      <x:c r="C42" s="22" t="n">
        <x:v>10</x:v>
      </x:c>
      <x:c r="D42" s="20" t="str">
        <x:v>PTS scan card</x:v>
      </x:c>
      <x:c r="E42" s="20" t="str">
        <x:v>Medium Alien Encounter</x:v>
      </x:c>
      <x:c r="F42" s="20" t="str">
        <x:v>PvP</x:v>
      </x:c>
      <x:c r="G42" s="23" t="n">
        <x:v>1</x:v>
      </x:c>
      <x:c r="H42" s="23" t="n">
        <x:v>373</x:v>
      </x:c>
      <x:c r="I42" s="23" t="str">
        <x:v>Combat</x:v>
      </x:c>
      <x:c r="J42" s="23" t="n">
        <x:v>1</x:v>
      </x:c>
      <x:c r="K42" s="23" t="n">
        <x:v>20</x:v>
      </x:c>
      <x:c r="L42" s="23" t="n">
        <x:v>2890</x:v>
      </x:c>
      <x:c r="M42" s="20" t="str">
        <x:v>possible</x:v>
      </x:c>
      <x:c r="N42" s="23" t="n">
        <x:v>0</x:v>
      </x:c>
      <x:c r="O42" s="23" t="n">
        <x:v>0</x:v>
      </x:c>
      <x:c r="P42" s="23" t="n">
        <x:v>454302</x:v>
      </x:c>
      <x:c r="Q42" s="23" t="n">
        <x:v>0</x:v>
      </x:c>
      <x:c r="R42" s="24" t="b">
        <x:v>1</x:v>
      </x:c>
      <x:c r="S42" s="23" t="n">
        <x:v>129777</x:v>
      </x:c>
      <x:c r="T42" s="24" t="b">
        <x:v>0</x:v>
      </x:c>
      <x:c r="U42" s="24" t="b">
        <x:v>0</x:v>
      </x:c>
      <x:c r="V42" s="25" t="n">
        <x:f>N42+1.5*O42+3*P42+3*Q42</x:f>
        <x:v>1362906</x:v>
      </x:c>
      <x:c r="W42" s="25" t="n">
        <x:f>S42*3</x:f>
        <x:v>389331</x:v>
      </x:c>
      <x:c r="X42" s="25" t="n">
        <x:f>IF(Z42="No",0,V42-W42)</x:f>
        <x:v>973575</x:v>
      </x:c>
      <x:c r="Y42" s="26" t="n">
        <x:f>IF(Z42="No",0,IFERROR(V42/W42,0))</x:f>
        <x:v>3.5006357058646755</x:v>
      </x:c>
      <x:c r="Z42" s="27" t="str">
        <x:f>IF(AND(U42=TRUE,V42=0),"No","Yes")</x:f>
        <x:v>Yes</x:v>
      </x:c>
      <x:c r="AA42" s="27" t="str">
        <x:f>IF(Z42="No","Not comparable",IF(X42&gt;0,"Yes","No"))</x:f>
        <x:v>Yes</x:v>
      </x:c>
    </x:row>
    <x:row r="43">
      <x:c r="A43" s="20" t="str">
        <x:v>small-alien-encounter-277-pvp-5star</x:v>
      </x:c>
      <x:c r="B43" s="21" t="n">
        <x:v>46296</x:v>
      </x:c>
      <x:c r="C43" s="22" t="n">
        <x:v>10</x:v>
      </x:c>
      <x:c r="D43" s="20" t="str">
        <x:v>PTS scan card</x:v>
      </x:c>
      <x:c r="E43" s="20" t="str">
        <x:v>Small Alien Encounter</x:v>
      </x:c>
      <x:c r="F43" s="20" t="str">
        <x:v>PvP</x:v>
      </x:c>
      <x:c r="G43" s="23" t="n">
        <x:v>5</x:v>
      </x:c>
      <x:c r="H43" s="23" t="n">
        <x:v>277</x:v>
      </x:c>
      <x:c r="I43" s="23" t="str">
        <x:v>Combat</x:v>
      </x:c>
      <x:c r="J43" s="23" t="n">
        <x:v>4</x:v>
      </x:c>
      <x:c r="K43" s="23" t="n">
        <x:v>84</x:v>
      </x:c>
      <x:c r="L43" s="23" t="n">
        <x:v>3650</x:v>
      </x:c>
      <x:c r="M43" s="20" t="str">
        <x:v>possible</x:v>
      </x:c>
      <x:c r="N43" s="23" t="n">
        <x:v>4946149</x:v>
      </x:c>
      <x:c r="O43" s="23" t="n">
        <x:v>3297433</x:v>
      </x:c>
      <x:c r="P43" s="23" t="n">
        <x:v>0</x:v>
      </x:c>
      <x:c r="Q43" s="23" t="n">
        <x:v>0</x:v>
      </x:c>
      <x:c r="R43" s="24" t="b">
        <x:v>1</x:v>
      </x:c>
      <x:c r="S43" s="23" t="n">
        <x:v>1927000</x:v>
      </x:c>
      <x:c r="T43" s="24" t="b">
        <x:v>1</x:v>
      </x:c>
      <x:c r="U43" s="24" t="b">
        <x:v>1</x:v>
      </x:c>
      <x:c r="V43" s="25" t="n">
        <x:f>N43+1.5*O43+3*P43+3*Q43</x:f>
        <x:v>9892298.5</x:v>
      </x:c>
      <x:c r="W43" s="25" t="n">
        <x:f>S43*3</x:f>
        <x:v>5781000</x:v>
      </x:c>
      <x:c r="X43" s="25" t="n">
        <x:f>IF(Z43="No",0,V43-W43)</x:f>
        <x:v>4111298.5</x:v>
      </x:c>
      <x:c r="Y43" s="26" t="n">
        <x:f>IF(Z43="No",0,IFERROR(V43/W43,0))</x:f>
        <x:v>1.711174277806608</x:v>
      </x:c>
      <x:c r="Z43" s="27" t="str">
        <x:f>IF(AND(U43=TRUE,V43=0),"No","Yes")</x:f>
        <x:v>Yes</x:v>
      </x:c>
      <x:c r="AA43" s="27" t="str">
        <x:f>IF(Z43="No","Not comparable",IF(X43&gt;0,"Yes","No"))</x:f>
        <x:v>Yes</x:v>
      </x:c>
    </x:row>
    <x:row r="44">
      <x:c r="A44" s="20" t="str">
        <x:v>resource-deuterium-370-pve-1star</x:v>
      </x:c>
      <x:c r="B44" s="21" t="n">
        <x:v>46296</x:v>
      </x:c>
      <x:c r="C44" s="22" t="n">
        <x:v>10</x:v>
      </x:c>
      <x:c r="D44" s="20" t="str">
        <x:v>PTS scan card</x:v>
      </x:c>
      <x:c r="E44" s="20" t="str">
        <x:v>Resource: Deuterium</x:v>
      </x:c>
      <x:c r="F44" s="20" t="str">
        <x:v>PvE</x:v>
      </x:c>
      <x:c r="G44" s="23" t="n">
        <x:v>1</x:v>
      </x:c>
      <x:c r="H44" s="23" t="n">
        <x:v>370</x:v>
      </x:c>
      <x:c r="I44" s="23" t="str">
        <x:v>Combat</x:v>
      </x:c>
      <x:c r="J44" s="23" t="n">
        <x:v>5</x:v>
      </x:c>
      <x:c r="K44" s="23" t="n">
        <x:v>98</x:v>
      </x:c>
      <x:c r="L44" s="23" t="n">
        <x:v>3365</x:v>
      </x:c>
      <x:c r="M44" s="20" t="str">
        <x:v>possible</x:v>
      </x:c>
      <x:c r="N44" s="23" t="n">
        <x:v>0</x:v>
      </x:c>
      <x:c r="O44" s="23" t="n">
        <x:v>0</x:v>
      </x:c>
      <x:c r="P44" s="23" t="n">
        <x:v>1214980</x:v>
      </x:c>
      <x:c r="Q44" s="23" t="n">
        <x:v>0</x:v>
      </x:c>
      <x:c r="R44" s="24" t="b">
        <x:v>1</x:v>
      </x:c>
      <x:c r="S44" s="23" t="n">
        <x:v>643665</x:v>
      </x:c>
      <x:c r="T44" s="24" t="b">
        <x:v>0</x:v>
      </x:c>
      <x:c r="U44" s="24" t="b">
        <x:v>0</x:v>
      </x:c>
      <x:c r="V44" s="25" t="n">
        <x:f>N44+1.5*O44+3*P44+3*Q44</x:f>
        <x:v>3644940</x:v>
      </x:c>
      <x:c r="W44" s="25" t="n">
        <x:f>S44*3</x:f>
        <x:v>1930995</x:v>
      </x:c>
      <x:c r="X44" s="25" t="n">
        <x:f>IF(Z44="No",0,V44-W44)</x:f>
        <x:v>1713945</x:v>
      </x:c>
      <x:c r="Y44" s="26" t="n">
        <x:f>IF(Z44="No",0,IFERROR(V44/W44,0))</x:f>
        <x:v>1.8875968088990391</x:v>
      </x:c>
      <x:c r="Z44" s="27" t="str">
        <x:f>IF(AND(U44=TRUE,V44=0),"No","Yes")</x:f>
        <x:v>Yes</x:v>
      </x:c>
      <x:c r="AA44" s="27" t="str">
        <x:f>IF(Z44="No","Not comparable",IF(X44&gt;0,"Yes","No"))</x:f>
        <x:v>Yes</x:v>
      </x:c>
    </x:row>
    <x:row r="45">
      <x:c r="A45" s="20" t="str">
        <x:v>resource-metal-358-pvp-4star</x:v>
      </x:c>
      <x:c r="B45" s="21" t="n">
        <x:v>46296</x:v>
      </x:c>
      <x:c r="C45" s="22" t="n">
        <x:v>10</x:v>
      </x:c>
      <x:c r="D45" s="20" t="str">
        <x:v>PTS scan card</x:v>
      </x:c>
      <x:c r="E45" s="20" t="str">
        <x:v>Resource: Metal</x:v>
      </x:c>
      <x:c r="F45" s="20" t="str">
        <x:v>PvP</x:v>
      </x:c>
      <x:c r="G45" s="23" t="n">
        <x:v>4</x:v>
      </x:c>
      <x:c r="H45" s="23" t="n">
        <x:v>358</x:v>
      </x:c>
      <x:c r="I45" s="23" t="str">
        <x:v>Combat</x:v>
      </x:c>
      <x:c r="J45" s="23" t="n">
        <x:v>2</x:v>
      </x:c>
      <x:c r="K45" s="23" t="n">
        <x:v>38</x:v>
      </x:c>
      <x:c r="L45" s="23" t="n">
        <x:v>2985</x:v>
      </x:c>
      <x:c r="M45" s="20" t="str">
        <x:v>possible</x:v>
      </x:c>
      <x:c r="N45" s="23" t="n">
        <x:v>10669954</x:v>
      </x:c>
      <x:c r="O45" s="23" t="n">
        <x:v>0</x:v>
      </x:c>
      <x:c r="P45" s="23" t="n">
        <x:v>0</x:v>
      </x:c>
      <x:c r="Q45" s="23" t="n">
        <x:v>0</x:v>
      </x:c>
      <x:c r="R45" s="24" t="b">
        <x:v>1</x:v>
      </x:c>
      <x:c r="S45" s="23" t="n">
        <x:v>996462</x:v>
      </x:c>
      <x:c r="T45" s="24" t="b">
        <x:v>0</x:v>
      </x:c>
      <x:c r="U45" s="24" t="b">
        <x:v>0</x:v>
      </x:c>
      <x:c r="V45" s="25" t="n">
        <x:f>N45+1.5*O45+3*P45+3*Q45</x:f>
        <x:v>10669954</x:v>
      </x:c>
      <x:c r="W45" s="25" t="n">
        <x:f>S45*3</x:f>
        <x:v>2989386</x:v>
      </x:c>
      <x:c r="X45" s="25" t="n">
        <x:f>IF(Z45="No",0,V45-W45)</x:f>
        <x:v>7680568</x:v>
      </x:c>
      <x:c r="Y45" s="26" t="n">
        <x:f>IF(Z45="No",0,IFERROR(V45/W45,0))</x:f>
        <x:v>3.569279444006227</x:v>
      </x:c>
      <x:c r="Z45" s="27" t="str">
        <x:f>IF(AND(U45=TRUE,V45=0),"No","Yes")</x:f>
        <x:v>Yes</x:v>
      </x:c>
      <x:c r="AA45" s="27" t="str">
        <x:f>IF(Z45="No","Not comparable",IF(X45&gt;0,"Yes","No"))</x:f>
        <x:v>Yes</x:v>
      </x:c>
    </x:row>
    <x:row r="46">
      <x:c r="A46" s="20" t="str">
        <x:v>delivery-crystal-280-pvp-4star</x:v>
      </x:c>
      <x:c r="B46" s="21" t="n">
        <x:v>46296</x:v>
      </x:c>
      <x:c r="C46" s="22" t="n">
        <x:v>50</x:v>
      </x:c>
      <x:c r="D46" s="20" t="str">
        <x:v>PTS scan card</x:v>
      </x:c>
      <x:c r="E46" s="20" t="str">
        <x:v>Delivery: Crystal</x:v>
      </x:c>
      <x:c r="F46" s="20" t="str">
        <x:v>PvP</x:v>
      </x:c>
      <x:c r="G46" s="23" t="n">
        <x:v>4</x:v>
      </x:c>
      <x:c r="H46" s="23" t="n">
        <x:v>280</x:v>
      </x:c>
      <x:c r="I46" s="23" t="str">
        <x:v>Delivery</x:v>
      </x:c>
      <x:c r="J46" s="23" t="n">
        <x:v>3</x:v>
      </x:c>
      <x:c r="K46" s="23" t="n">
        <x:v>100</x:v>
      </x:c>
      <x:c r="L46" s="23" t="n">
        <x:v>3745</x:v>
      </x:c>
      <x:c r="M46" s="20" t="str">
        <x:v>possible</x:v>
      </x:c>
      <x:c r="N46" s="23" t="n">
        <x:v>0</x:v>
      </x:c>
      <x:c r="O46" s="23" t="n">
        <x:v>8505702</x:v>
      </x:c>
      <x:c r="P46" s="23" t="n">
        <x:v>0</x:v>
      </x:c>
      <x:c r="Q46" s="23" t="n">
        <x:v>0</x:v>
      </x:c>
      <x:c r="R46" s="24" t="b">
        <x:v>1</x:v>
      </x:c>
      <x:c r="S46" s="23" t="n">
        <x:v>1169000</x:v>
      </x:c>
      <x:c r="T46" s="24" t="b">
        <x:v>1</x:v>
      </x:c>
      <x:c r="U46" s="24" t="b">
        <x:v>0</x:v>
      </x:c>
      <x:c r="V46" s="25" t="n">
        <x:f>N46+1.5*O46+3*P46+3*Q46</x:f>
        <x:v>12758553</x:v>
      </x:c>
      <x:c r="W46" s="25" t="n">
        <x:f>S46*3</x:f>
        <x:v>3507000</x:v>
      </x:c>
      <x:c r="X46" s="25" t="n">
        <x:f>IF(Z46="No",0,V46-W46)</x:f>
        <x:v>9251553</x:v>
      </x:c>
      <x:c r="Y46" s="26" t="n">
        <x:f>IF(Z46="No",0,IFERROR(V46/W46,0))</x:f>
        <x:v>3.6380248075278017</x:v>
      </x:c>
      <x:c r="Z46" s="27" t="str">
        <x:f>IF(AND(U46=TRUE,V46=0),"No","Yes")</x:f>
        <x:v>Yes</x:v>
      </x:c>
      <x:c r="AA46" s="27" t="str">
        <x:f>IF(Z46="No","Not comparable",IF(X46&gt;0,"Yes","No"))</x:f>
        <x:v>Yes</x:v>
      </x:c>
    </x:row>
    <x:row r="47">
      <x:c r="A47" s="20" t="str">
        <x:v>small-alien-encounter-359-pve-2star</x:v>
      </x:c>
      <x:c r="B47" s="21" t="n">
        <x:v>46296</x:v>
      </x:c>
      <x:c r="C47" s="22" t="n">
        <x:v>50</x:v>
      </x:c>
      <x:c r="D47" s="20" t="str">
        <x:v>PTS scan card</x:v>
      </x:c>
      <x:c r="E47" s="20" t="str">
        <x:v>Small Alien Encounter</x:v>
      </x:c>
      <x:c r="F47" s="20" t="str">
        <x:v>PvE</x:v>
      </x:c>
      <x:c r="G47" s="23" t="n">
        <x:v>2</x:v>
      </x:c>
      <x:c r="H47" s="23" t="n">
        <x:v>359</x:v>
      </x:c>
      <x:c r="I47" s="23" t="str">
        <x:v>Combat</x:v>
      </x:c>
      <x:c r="J47" s="23" t="n">
        <x:v>4</x:v>
      </x:c>
      <x:c r="K47" s="23" t="n">
        <x:v>105</x:v>
      </x:c>
      <x:c r="L47" s="23" t="n">
        <x:v>5645</x:v>
      </x:c>
      <x:c r="M47" s="20" t="str">
        <x:v>possible</x:v>
      </x:c>
      <x:c r="N47" s="23" t="n">
        <x:v>2564140</x:v>
      </x:c>
      <x:c r="O47" s="23" t="n">
        <x:v>0</x:v>
      </x:c>
      <x:c r="P47" s="23" t="n">
        <x:v>427356</x:v>
      </x:c>
      <x:c r="Q47" s="23" t="n">
        <x:v>0</x:v>
      </x:c>
      <x:c r="R47" s="24" t="b">
        <x:v>1</x:v>
      </x:c>
      <x:c r="S47" s="23" t="n">
        <x:v>999244</x:v>
      </x:c>
      <x:c r="T47" s="24" t="b">
        <x:v>0</x:v>
      </x:c>
      <x:c r="U47" s="24" t="b">
        <x:v>1</x:v>
      </x:c>
      <x:c r="V47" s="25" t="n">
        <x:f>N47+1.5*O47+3*P47+3*Q47</x:f>
        <x:v>3846208</x:v>
      </x:c>
      <x:c r="W47" s="25" t="n">
        <x:f>S47*3</x:f>
        <x:v>2997732</x:v>
      </x:c>
      <x:c r="X47" s="25" t="n">
        <x:f>IF(Z47="No",0,V47-W47)</x:f>
        <x:v>848476</x:v>
      </x:c>
      <x:c r="Y47" s="26" t="n">
        <x:f>IF(Z47="No",0,IFERROR(V47/W47,0))</x:f>
        <x:v>1.283039311052489</x:v>
      </x:c>
      <x:c r="Z47" s="27" t="str">
        <x:f>IF(AND(U47=TRUE,V47=0),"No","Yes")</x:f>
        <x:v>Yes</x:v>
      </x:c>
      <x:c r="AA47" s="27" t="str">
        <x:f>IF(Z47="No","Not comparable",IF(X47&gt;0,"Yes","No"))</x:f>
        <x:v>Yes</x:v>
      </x:c>
    </x:row>
    <x:row r="48">
      <x:c r="A48" s="20" t="str">
        <x:v>resource-crystal-340-pve-1star</x:v>
      </x:c>
      <x:c r="B48" s="21" t="n">
        <x:v>46296</x:v>
      </x:c>
      <x:c r="C48" s="22" t="n">
        <x:v>50</x:v>
      </x:c>
      <x:c r="D48" s="20" t="str">
        <x:v>PTS scan card</x:v>
      </x:c>
      <x:c r="E48" s="20" t="str">
        <x:v>Resource: Crystal</x:v>
      </x:c>
      <x:c r="F48" s="20" t="str">
        <x:v>PvE</x:v>
      </x:c>
      <x:c r="G48" s="23" t="n">
        <x:v>1</x:v>
      </x:c>
      <x:c r="H48" s="23" t="n">
        <x:v>340</x:v>
      </x:c>
      <x:c r="I48" s="23" t="str">
        <x:v>Combat</x:v>
      </x:c>
      <x:c r="J48" s="23" t="n">
        <x:v>1</x:v>
      </x:c>
      <x:c r="K48" s="23" t="n">
        <x:v>26</x:v>
      </x:c>
      <x:c r="L48" s="23" t="n">
        <x:v>3935</x:v>
      </x:c>
      <x:c r="M48" s="20" t="str">
        <x:v>possible</x:v>
      </x:c>
      <x:c r="N48" s="23" t="n">
        <x:v>0</x:v>
      </x:c>
      <x:c r="O48" s="23" t="n">
        <x:v>414108</x:v>
      </x:c>
      <x:c r="P48" s="23" t="n">
        <x:v>0</x:v>
      </x:c>
      <x:c r="Q48" s="23" t="n">
        <x:v>0</x:v>
      </x:c>
      <x:c r="R48" s="24" t="b">
        <x:v>1</x:v>
      </x:c>
      <x:c r="S48" s="23" t="n">
        <x:v>118295</x:v>
      </x:c>
      <x:c r="T48" s="24" t="b">
        <x:v>0</x:v>
      </x:c>
      <x:c r="U48" s="24" t="b">
        <x:v>0</x:v>
      </x:c>
      <x:c r="V48" s="25" t="n">
        <x:f>N48+1.5*O48+3*P48+3*Q48</x:f>
        <x:v>621162</x:v>
      </x:c>
      <x:c r="W48" s="25" t="n">
        <x:f>S48*3</x:f>
        <x:v>354885</x:v>
      </x:c>
      <x:c r="X48" s="25" t="n">
        <x:f>IF(Z48="No",0,V48-W48)</x:f>
        <x:v>266277</x:v>
      </x:c>
      <x:c r="Y48" s="26" t="n">
        <x:f>IF(Z48="No",0,IFERROR(V48/W48,0))</x:f>
        <x:v>1.7503191174605859</x:v>
      </x:c>
      <x:c r="Z48" s="27" t="str">
        <x:f>IF(AND(U48=TRUE,V48=0),"No","Yes")</x:f>
        <x:v>Yes</x:v>
      </x:c>
      <x:c r="AA48" s="27" t="str">
        <x:f>IF(Z48="No","Not comparable",IF(X48&gt;0,"Yes","No"))</x:f>
        <x:v>Yes</x:v>
      </x:c>
    </x:row>
    <x:row r="49">
      <x:c r="A49" s="20" t="str">
        <x:v>delivery-deuterium-316-pve-2star</x:v>
      </x:c>
      <x:c r="B49" s="21" t="n">
        <x:v>46296</x:v>
      </x:c>
      <x:c r="C49" s="22" t="n">
        <x:v>50</x:v>
      </x:c>
      <x:c r="D49" s="20" t="str">
        <x:v>PTS scan card</x:v>
      </x:c>
      <x:c r="E49" s="20" t="str">
        <x:v>Delivery: Deuterium</x:v>
      </x:c>
      <x:c r="F49" s="20" t="str">
        <x:v>PvE</x:v>
      </x:c>
      <x:c r="G49" s="23" t="n">
        <x:v>2</x:v>
      </x:c>
      <x:c r="H49" s="23" t="n">
        <x:v>316</x:v>
      </x:c>
      <x:c r="I49" s="23" t="str">
        <x:v>Delivery</x:v>
      </x:c>
      <x:c r="J49" s="23" t="n">
        <x:v>6</x:v>
      </x:c>
      <x:c r="K49" s="23" t="n">
        <x:v>185</x:v>
      </x:c>
      <x:c r="L49" s="23" t="n">
        <x:v>5170</x:v>
      </x:c>
      <x:c r="M49" s="20" t="str">
        <x:v>possible</x:v>
      </x:c>
      <x:c r="N49" s="23" t="n">
        <x:v>0</x:v>
      </x:c>
      <x:c r="O49" s="23" t="n">
        <x:v>0</x:v>
      </x:c>
      <x:c r="P49" s="23" t="n">
        <x:v>2535660</x:v>
      </x:c>
      <x:c r="Q49" s="23" t="n">
        <x:v>0</x:v>
      </x:c>
      <x:c r="R49" s="24" t="b">
        <x:v>1</x:v>
      </x:c>
      <x:c r="S49" s="23" t="n">
        <x:v>1319000</x:v>
      </x:c>
      <x:c r="T49" s="24" t="b">
        <x:v>1</x:v>
      </x:c>
      <x:c r="U49" s="24" t="b">
        <x:v>0</x:v>
      </x:c>
      <x:c r="V49" s="25" t="n">
        <x:f>N49+1.5*O49+3*P49+3*Q49</x:f>
        <x:v>7606980</x:v>
      </x:c>
      <x:c r="W49" s="25" t="n">
        <x:f>S49*3</x:f>
        <x:v>3957000</x:v>
      </x:c>
      <x:c r="X49" s="25" t="n">
        <x:f>IF(Z49="No",0,V49-W49)</x:f>
        <x:v>3649980</x:v>
      </x:c>
      <x:c r="Y49" s="26" t="n">
        <x:f>IF(Z49="No",0,IFERROR(V49/W49,0))</x:f>
        <x:v>1.9224109173616375</x:v>
      </x:c>
      <x:c r="Z49" s="27" t="str">
        <x:f>IF(AND(U49=TRUE,V49=0),"No","Yes")</x:f>
        <x:v>Yes</x:v>
      </x:c>
      <x:c r="AA49" s="27" t="str">
        <x:f>IF(Z49="No","Not comparable",IF(X49&gt;0,"Yes","No"))</x:f>
        <x:v>Yes</x:v>
      </x:c>
    </x:row>
    <x:row r="50">
      <x:c r="A50" s="20" t="str">
        <x:v>delivery-metal-280-pve-1star</x:v>
      </x:c>
      <x:c r="B50" s="21" t="n">
        <x:v>46296</x:v>
      </x:c>
      <x:c r="C50" s="22" t="n">
        <x:v>150</x:v>
      </x:c>
      <x:c r="D50" s="20" t="str">
        <x:v>PTS scan card</x:v>
      </x:c>
      <x:c r="E50" s="20" t="str">
        <x:v>Delivery: Metal</x:v>
      </x:c>
      <x:c r="F50" s="20" t="str">
        <x:v>PvE</x:v>
      </x:c>
      <x:c r="G50" s="23" t="n">
        <x:v>1</x:v>
      </x:c>
      <x:c r="H50" s="23" t="n">
        <x:v>280</x:v>
      </x:c>
      <x:c r="I50" s="23" t="str">
        <x:v>Delivery</x:v>
      </x:c>
      <x:c r="J50" s="23" t="n">
        <x:v>1</x:v>
      </x:c>
      <x:c r="K50" s="23" t="n">
        <x:v>50</x:v>
      </x:c>
      <x:c r="L50" s="23" t="n">
        <x:v>4505</x:v>
      </x:c>
      <x:c r="M50" s="20" t="str">
        <x:v>possible</x:v>
      </x:c>
      <x:c r="N50" s="23" t="n">
        <x:v>511543</x:v>
      </x:c>
      <x:c r="O50" s="23" t="n">
        <x:v>0</x:v>
      </x:c>
      <x:c r="P50" s="23" t="n">
        <x:v>0</x:v>
      </x:c>
      <x:c r="Q50" s="23" t="n">
        <x:v>0</x:v>
      </x:c>
      <x:c r="R50" s="24" t="b">
        <x:v>1</x:v>
      </x:c>
      <x:c r="S50" s="23" t="n">
        <x:v>97419</x:v>
      </x:c>
      <x:c r="T50" s="24" t="b">
        <x:v>0</x:v>
      </x:c>
      <x:c r="U50" s="24" t="b">
        <x:v>0</x:v>
      </x:c>
      <x:c r="V50" s="25" t="n">
        <x:f>N50+1.5*O50+3*P50+3*Q50</x:f>
        <x:v>511543</x:v>
      </x:c>
      <x:c r="W50" s="25" t="n">
        <x:f>S50*3</x:f>
        <x:v>292257</x:v>
      </x:c>
      <x:c r="X50" s="25" t="n">
        <x:f>IF(Z50="No",0,V50-W50)</x:f>
        <x:v>219286</x:v>
      </x:c>
      <x:c r="Y50" s="26" t="n">
        <x:f>IF(Z50="No",0,IFERROR(V50/W50,0))</x:f>
        <x:v>1.7503190684910883</x:v>
      </x:c>
      <x:c r="Z50" s="27" t="str">
        <x:f>IF(AND(U50=TRUE,V50=0),"No","Yes")</x:f>
        <x:v>Yes</x:v>
      </x:c>
      <x:c r="AA50" s="27" t="str">
        <x:f>IF(Z50="No","Not comparable",IF(X50&gt;0,"Yes","No"))</x:f>
        <x:v>Yes</x:v>
      </x:c>
    </x:row>
    <x:row r="51">
      <x:c r="A51" s="20" t="str">
        <x:v>medium-alien-encounter-383-pve-5star</x:v>
      </x:c>
      <x:c r="B51" s="21" t="n">
        <x:v>46296</x:v>
      </x:c>
      <x:c r="C51" s="22" t="n">
        <x:v>150</x:v>
      </x:c>
      <x:c r="D51" s="20" t="str">
        <x:v>PTS scan card</x:v>
      </x:c>
      <x:c r="E51" s="20" t="str">
        <x:v>Medium Alien Encounter</x:v>
      </x:c>
      <x:c r="F51" s="20" t="str">
        <x:v>PvE</x:v>
      </x:c>
      <x:c r="G51" s="23" t="n">
        <x:v>5</x:v>
      </x:c>
      <x:c r="H51" s="23" t="n">
        <x:v>383</x:v>
      </x:c>
      <x:c r="I51" s="23" t="str">
        <x:v>Combat</x:v>
      </x:c>
      <x:c r="J51" s="23" t="n">
        <x:v>4</x:v>
      </x:c>
      <x:c r="K51" s="23" t="n">
        <x:v>132</x:v>
      </x:c>
      <x:c r="L51" s="23" t="n">
        <x:v>7640</x:v>
      </x:c>
      <x:c r="M51" s="20" t="str">
        <x:v>possible</x:v>
      </x:c>
      <x:c r="N51" s="23" t="n">
        <x:v>1852205</x:v>
      </x:c>
      <x:c r="O51" s="23" t="n">
        <x:v>8223788</x:v>
      </x:c>
      <x:c r="P51" s="23" t="n">
        <x:v>209916</x:v>
      </x:c>
      <x:c r="Q51" s="23" t="n">
        <x:v>0</x:v>
      </x:c>
      <x:c r="R51" s="24" t="b">
        <x:v>1</x:v>
      </x:c>
      <x:c r="S51" s="23" t="n">
        <x:v>2665000</x:v>
      </x:c>
      <x:c r="T51" s="24" t="b">
        <x:v>1</x:v>
      </x:c>
      <x:c r="U51" s="24" t="b">
        <x:v>0</x:v>
      </x:c>
      <x:c r="V51" s="25" t="n">
        <x:f>N51+1.5*O51+3*P51+3*Q51</x:f>
        <x:v>14817635</x:v>
      </x:c>
      <x:c r="W51" s="25" t="n">
        <x:f>S51*3</x:f>
        <x:v>7995000</x:v>
      </x:c>
      <x:c r="X51" s="25" t="n">
        <x:f>IF(Z51="No",0,V51-W51)</x:f>
        <x:v>6822635</x:v>
      </x:c>
      <x:c r="Y51" s="26" t="n">
        <x:f>IF(Z51="No",0,IFERROR(V51/W51,0))</x:f>
        <x:v>1.85336272670419</x:v>
      </x:c>
      <x:c r="Z51" s="27" t="str">
        <x:f>IF(AND(U51=TRUE,V51=0),"No","Yes")</x:f>
        <x:v>Yes</x:v>
      </x:c>
      <x:c r="AA51" s="27" t="str">
        <x:f>IF(Z51="No","Not comparable",IF(X51&gt;0,"Yes","No"))</x:f>
        <x:v>Yes</x:v>
      </x:c>
    </x:row>
    <x:row r="52">
      <x:c r="A52" s="20" t="str">
        <x:v>medium-alien-encounter-297-pve-1star</x:v>
      </x:c>
      <x:c r="B52" s="21" t="n">
        <x:v>46296</x:v>
      </x:c>
      <x:c r="C52" s="22" t="n">
        <x:v>150</x:v>
      </x:c>
      <x:c r="D52" s="20" t="str">
        <x:v>PTS scan card</x:v>
      </x:c>
      <x:c r="E52" s="20" t="str">
        <x:v>Medium Alien Encounter</x:v>
      </x:c>
      <x:c r="F52" s="20" t="str">
        <x:v>PvE</x:v>
      </x:c>
      <x:c r="G52" s="23" t="n">
        <x:v>1</x:v>
      </x:c>
      <x:c r="H52" s="23" t="n">
        <x:v>297</x:v>
      </x:c>
      <x:c r="I52" s="23" t="str">
        <x:v>Combat</x:v>
      </x:c>
      <x:c r="J52" s="23" t="n">
        <x:v>3</x:v>
      </x:c>
      <x:c r="K52" s="23" t="n">
        <x:v>102</x:v>
      </x:c>
      <x:c r="L52" s="23" t="n">
        <x:v>5835</x:v>
      </x:c>
      <x:c r="M52" s="20" t="str">
        <x:v>possible</x:v>
      </x:c>
      <x:c r="N52" s="23" t="n">
        <x:v>845821</x:v>
      </x:c>
      <x:c r="O52" s="23" t="n">
        <x:v>124053</x:v>
      </x:c>
      <x:c r="P52" s="23" t="n">
        <x:v>219913</x:v>
      </x:c>
      <x:c r="Q52" s="23" t="n">
        <x:v>0</x:v>
      </x:c>
      <x:c r="R52" s="24" t="b">
        <x:v>1</x:v>
      </x:c>
      <x:c r="S52" s="23" t="n">
        <x:v>310002</x:v>
      </x:c>
      <x:c r="T52" s="24" t="b">
        <x:v>0</x:v>
      </x:c>
      <x:c r="U52" s="24" t="b">
        <x:v>0</x:v>
      </x:c>
      <x:c r="V52" s="25" t="n">
        <x:f>N52+1.5*O52+3*P52+3*Q52</x:f>
        <x:v>1691639.5</x:v>
      </x:c>
      <x:c r="W52" s="25" t="n">
        <x:f>S52*3</x:f>
        <x:v>930006</x:v>
      </x:c>
      <x:c r="X52" s="25" t="n">
        <x:f>IF(Z52="No",0,V52-W52)</x:f>
        <x:v>761633.5</x:v>
      </x:c>
      <x:c r="Y52" s="26" t="n">
        <x:f>IF(Z52="No",0,IFERROR(V52/W52,0))</x:f>
        <x:v>1.8189554691045005</x:v>
      </x:c>
      <x:c r="Z52" s="27" t="str">
        <x:f>IF(AND(U52=TRUE,V52=0),"No","Yes")</x:f>
        <x:v>Yes</x:v>
      </x:c>
      <x:c r="AA52" s="27" t="str">
        <x:f>IF(Z52="No","Not comparable",IF(X52&gt;0,"Yes","No"))</x:f>
        <x:v>Yes</x:v>
      </x:c>
    </x:row>
    <x:row r="53">
      <x:c r="A53" s="20" t="str">
        <x:v>alien-encounter-259-pvp-5star</x:v>
      </x:c>
      <x:c r="B53" s="21" t="n">
        <x:v>46296</x:v>
      </x:c>
      <x:c r="C53" s="22" t="n">
        <x:v>150</x:v>
      </x:c>
      <x:c r="D53" s="20" t="str">
        <x:v>PTS scan card</x:v>
      </x:c>
      <x:c r="E53" s="20" t="str">
        <x:v>Alien Encounter</x:v>
      </x:c>
      <x:c r="F53" s="20" t="str">
        <x:v>PvP</x:v>
      </x:c>
      <x:c r="G53" s="23" t="n">
        <x:v>5</x:v>
      </x:c>
      <x:c r="H53" s="23" t="n">
        <x:v>259</x:v>
      </x:c>
      <x:c r="I53" s="23" t="str">
        <x:v>Combat</x:v>
      </x:c>
      <x:c r="J53" s="23" t="n">
        <x:v>3</x:v>
      </x:c>
      <x:c r="K53" s="23" t="n">
        <x:v>97</x:v>
      </x:c>
      <x:c r="L53" s="23" t="n">
        <x:v>5835</x:v>
      </x:c>
      <x:c r="M53" s="20" t="str">
        <x:v>possible</x:v>
      </x:c>
      <x:c r="N53" s="23" t="n">
        <x:v>6808649</x:v>
      </x:c>
      <x:c r="O53" s="23" t="n">
        <x:v>9078198</x:v>
      </x:c>
      <x:c r="P53" s="23" t="n">
        <x:v>0</x:v>
      </x:c>
      <x:c r="Q53" s="23" t="n">
        <x:v>0</x:v>
      </x:c>
      <x:c r="R53" s="24" t="b">
        <x:v>1</x:v>
      </x:c>
      <x:c r="S53" s="23" t="n">
        <x:v>1351000</x:v>
      </x:c>
      <x:c r="T53" s="24" t="b">
        <x:v>1</x:v>
      </x:c>
      <x:c r="U53" s="24" t="b">
        <x:v>0</x:v>
      </x:c>
      <x:c r="V53" s="25" t="n">
        <x:f>N53+1.5*O53+3*P53+3*Q53</x:f>
        <x:v>20425946</x:v>
      </x:c>
      <x:c r="W53" s="25" t="n">
        <x:f>S53*3</x:f>
        <x:v>4053000</x:v>
      </x:c>
      <x:c r="X53" s="25" t="n">
        <x:f>IF(Z53="No",0,V53-W53)</x:f>
        <x:v>16372946</x:v>
      </x:c>
      <x:c r="Y53" s="26" t="n">
        <x:f>IF(Z53="No",0,IFERROR(V53/W53,0))</x:f>
        <x:v>5.0397103380212185</x:v>
      </x:c>
      <x:c r="Z53" s="27" t="str">
        <x:f>IF(AND(U53=TRUE,V53=0),"No","Yes")</x:f>
        <x:v>Yes</x:v>
      </x:c>
      <x:c r="AA53" s="27" t="str">
        <x:f>IF(Z53="No","Not comparable",IF(X53&gt;0,"Yes","No"))</x:f>
        <x:v>Yes</x:v>
      </x:c>
    </x:row>
    <x:row r="54">
      <x:c r="A54" s="20" t="str">
        <x:v>resource-metal-462-pve-1star</x:v>
      </x:c>
      <x:c r="B54" s="21" t="n">
        <x:v>46296</x:v>
      </x:c>
      <x:c r="C54" s="22" t="n">
        <x:v>10</x:v>
      </x:c>
      <x:c r="D54" s="20" t="str">
        <x:v>PTS scan card</x:v>
      </x:c>
      <x:c r="E54" s="20" t="str">
        <x:v>Resource: Metal</x:v>
      </x:c>
      <x:c r="F54" s="20" t="str">
        <x:v>PvE</x:v>
      </x:c>
      <x:c r="G54" s="23" t="n">
        <x:v>1</x:v>
      </x:c>
      <x:c r="H54" s="23" t="n">
        <x:v>462</x:v>
      </x:c>
      <x:c r="I54" s="23" t="str">
        <x:v>Combat</x:v>
      </x:c>
      <x:c r="J54" s="23" t="n">
        <x:v>9</x:v>
      </x:c>
      <x:c r="K54" s="23" t="n">
        <x:v>167</x:v>
      </x:c>
      <x:c r="L54" s="23" t="n">
        <x:v>3365</x:v>
      </x:c>
      <x:c r="M54" s="20" t="str">
        <x:v>possible</x:v>
      </x:c>
      <x:c r="N54" s="23" t="n">
        <x:v>59177259</x:v>
      </x:c>
      <x:c r="O54" s="23" t="n">
        <x:v>0</x:v>
      </x:c>
      <x:c r="P54" s="23" t="n">
        <x:v>0</x:v>
      </x:c>
      <x:c r="Q54" s="23" t="n">
        <x:v>0</x:v>
      </x:c>
      <x:c r="R54" s="24" t="b">
        <x:v>1</x:v>
      </x:c>
      <x:c r="S54" s="23" t="n">
        <x:v>8404000</x:v>
      </x:c>
      <x:c r="T54" s="24" t="b">
        <x:v>1</x:v>
      </x:c>
      <x:c r="U54" s="24" t="b">
        <x:v>0</x:v>
      </x:c>
      <x:c r="V54" s="25" t="n">
        <x:f>N54+1.5*O54+3*P54+3*Q54</x:f>
        <x:v>59177259</x:v>
      </x:c>
      <x:c r="W54" s="25" t="n">
        <x:f>S54*3</x:f>
        <x:v>25212000</x:v>
      </x:c>
      <x:c r="X54" s="25" t="n">
        <x:f>IF(Z54="No",0,V54-W54)</x:f>
        <x:v>33965259</x:v>
      </x:c>
      <x:c r="Y54" s="26" t="n">
        <x:f>IF(Z54="No",0,IFERROR(V54/W54,0))</x:f>
        <x:v>2.3471862208472154</x:v>
      </x:c>
      <x:c r="Z54" s="27" t="str">
        <x:f>IF(AND(U54=TRUE,V54=0),"No","Yes")</x:f>
        <x:v>Yes</x:v>
      </x:c>
      <x:c r="AA54" s="27" t="str">
        <x:f>IF(Z54="No","Not comparable",IF(X54&gt;0,"Yes","No"))</x:f>
        <x:v>Yes</x:v>
      </x:c>
    </x:row>
    <x:row r="55">
      <x:c r="A55" s="20" t="str">
        <x:v>delivery-crystal-521-pve-2star</x:v>
      </x:c>
      <x:c r="B55" s="21" t="n">
        <x:v>46296</x:v>
      </x:c>
      <x:c r="C55" s="22" t="n">
        <x:v>10</x:v>
      </x:c>
      <x:c r="D55" s="20" t="str">
        <x:v>PTS scan card</x:v>
      </x:c>
      <x:c r="E55" s="20" t="str">
        <x:v>Delivery: Crystal</x:v>
      </x:c>
      <x:c r="F55" s="20" t="str">
        <x:v>PvE</x:v>
      </x:c>
      <x:c r="G55" s="23" t="n">
        <x:v>2</x:v>
      </x:c>
      <x:c r="H55" s="23" t="n">
        <x:v>521</x:v>
      </x:c>
      <x:c r="I55" s="23" t="str">
        <x:v>Delivery</x:v>
      </x:c>
      <x:c r="J55" s="23" t="n">
        <x:v>6</x:v>
      </x:c>
      <x:c r="K55" s="23" t="n">
        <x:v>128</x:v>
      </x:c>
      <x:c r="L55" s="23" t="n">
        <x:v>2985</x:v>
      </x:c>
      <x:c r="M55" s="20" t="str">
        <x:v>possible</x:v>
      </x:c>
      <x:c r="N55" s="23" t="n">
        <x:v>0</x:v>
      </x:c>
      <x:c r="O55" s="23" t="n">
        <x:v>56965716</x:v>
      </x:c>
      <x:c r="P55" s="23" t="n">
        <x:v>0</x:v>
      </x:c>
      <x:c r="Q55" s="23" t="n">
        <x:v>0</x:v>
      </x:c>
      <x:c r="R55" s="24" t="b">
        <x:v>1</x:v>
      </x:c>
      <x:c r="S55" s="23" t="n">
        <x:v>12637000</x:v>
      </x:c>
      <x:c r="T55" s="24" t="b">
        <x:v>1</x:v>
      </x:c>
      <x:c r="U55" s="24" t="b">
        <x:v>0</x:v>
      </x:c>
      <x:c r="V55" s="25" t="n">
        <x:f>N55+1.5*O55+3*P55+3*Q55</x:f>
        <x:v>85448574</x:v>
      </x:c>
      <x:c r="W55" s="25" t="n">
        <x:f>S55*3</x:f>
        <x:v>37911000</x:v>
      </x:c>
      <x:c r="X55" s="25" t="n">
        <x:f>IF(Z55="No",0,V55-W55)</x:f>
        <x:v>47537574</x:v>
      </x:c>
      <x:c r="Y55" s="26" t="n">
        <x:f>IF(Z55="No",0,IFERROR(V55/W55,0))</x:f>
        <x:v>2.2539256152567857</x:v>
      </x:c>
      <x:c r="Z55" s="27" t="str">
        <x:f>IF(AND(U55=TRUE,V55=0),"No","Yes")</x:f>
        <x:v>Yes</x:v>
      </x:c>
      <x:c r="AA55" s="27" t="str">
        <x:f>IF(Z55="No","Not comparable",IF(X55&gt;0,"Yes","No"))</x:f>
        <x:v>Yes</x:v>
      </x:c>
    </x:row>
    <x:row r="56">
      <x:c r="A56" s="20" t="str">
        <x:v>rescue-408-pve-2star</x:v>
      </x:c>
      <x:c r="B56" s="21" t="n">
        <x:v>46296</x:v>
      </x:c>
      <x:c r="C56" s="22" t="n">
        <x:v>10</x:v>
      </x:c>
      <x:c r="D56" s="20" t="str">
        <x:v>PTS scan card</x:v>
      </x:c>
      <x:c r="E56" s="20" t="str">
        <x:v>Rescue</x:v>
      </x:c>
      <x:c r="F56" s="20" t="str">
        <x:v>PvE</x:v>
      </x:c>
      <x:c r="G56" s="23" t="n">
        <x:v>2</x:v>
      </x:c>
      <x:c r="H56" s="23" t="n">
        <x:v>408</x:v>
      </x:c>
      <x:c r="I56" s="23" t="str">
        <x:v>Combat</x:v>
      </x:c>
      <x:c r="J56" s="23" t="n">
        <x:v>1</x:v>
      </x:c>
      <x:c r="K56" s="23" t="n">
        <x:v>21</x:v>
      </x:c>
      <x:c r="L56" s="23" t="n">
        <x:v>3460</x:v>
      </x:c>
      <x:c r="M56" s="20" t="str">
        <x:v>possible</x:v>
      </x:c>
      <x:c r="N56" s="23" t="n">
        <x:v>0</x:v>
      </x:c>
      <x:c r="O56" s="23" t="n">
        <x:v>0</x:v>
      </x:c>
      <x:c r="P56" s="23" t="n">
        <x:v>0</x:v>
      </x:c>
      <x:c r="Q56" s="23" t="n">
        <x:v>0</x:v>
      </x:c>
      <x:c r="R56" s="24" t="b">
        <x:v>1</x:v>
      </x:c>
      <x:c r="S56" s="23" t="n">
        <x:v>1649000</x:v>
      </x:c>
      <x:c r="T56" s="24" t="b">
        <x:v>1</x:v>
      </x:c>
      <x:c r="U56" s="24" t="b">
        <x:v>1</x:v>
      </x:c>
      <x:c r="V56" s="25" t="n">
        <x:f>N56+1.5*O56+3*P56+3*Q56</x:f>
        <x:v>0</x:v>
      </x:c>
      <x:c r="W56" s="25" t="n">
        <x:f>S56*3</x:f>
        <x:v>4947000</x:v>
      </x:c>
      <x:c r="X56" s="25" t="n">
        <x:f>IF(Z56="No",0,V56-W56)</x:f>
        <x:v>0</x:v>
      </x:c>
      <x:c r="Y56" s="26" t="n">
        <x:f>IF(Z56="No",0,IFERROR(V56/W56,0))</x:f>
        <x:v>0</x:v>
      </x:c>
      <x:c r="Z56" s="27" t="str">
        <x:f>IF(AND(U56=TRUE,V56=0),"No","Yes")</x:f>
        <x:v>No</x:v>
      </x:c>
      <x:c r="AA56" s="27" t="str">
        <x:f>IF(Z56="No","Not comparable",IF(X56&gt;0,"Yes","No"))</x:f>
        <x:v>Not comparable</x:v>
      </x:c>
    </x:row>
    <x:row r="57">
      <x:c r="A57" s="20" t="str">
        <x:v>alien-encounter-514-pve-1star</x:v>
      </x:c>
      <x:c r="B57" s="21" t="n">
        <x:v>46296</x:v>
      </x:c>
      <x:c r="C57" s="22" t="n">
        <x:v>10</x:v>
      </x:c>
      <x:c r="D57" s="20" t="str">
        <x:v>PTS scan card</x:v>
      </x:c>
      <x:c r="E57" s="20" t="str">
        <x:v>Alien Encounter</x:v>
      </x:c>
      <x:c r="F57" s="20" t="str">
        <x:v>PvE</x:v>
      </x:c>
      <x:c r="G57" s="23" t="n">
        <x:v>1</x:v>
      </x:c>
      <x:c r="H57" s="23" t="n">
        <x:v>514</x:v>
      </x:c>
      <x:c r="I57" s="23" t="str">
        <x:v>Combat</x:v>
      </x:c>
      <x:c r="J57" s="23" t="n">
        <x:v>7</x:v>
      </x:c>
      <x:c r="K57" s="23" t="n">
        <x:v>124</x:v>
      </x:c>
      <x:c r="L57" s="23" t="n">
        <x:v>3555</x:v>
      </x:c>
      <x:c r="M57" s="20" t="str">
        <x:v>possible</x:v>
      </x:c>
      <x:c r="N57" s="23" t="n">
        <x:v>9785556</x:v>
      </x:c>
      <x:c r="O57" s="23" t="n">
        <x:v>17557204</x:v>
      </x:c>
      <x:c r="P57" s="23" t="n">
        <x:v>13137585</x:v>
      </x:c>
      <x:c r="Q57" s="23" t="n">
        <x:v>0</x:v>
      </x:c>
      <x:c r="R57" s="24" t="b">
        <x:v>1</x:v>
      </x:c>
      <x:c r="S57" s="23" t="n">
        <x:v>7272000</x:v>
      </x:c>
      <x:c r="T57" s="24" t="b">
        <x:v>1</x:v>
      </x:c>
      <x:c r="U57" s="24" t="b">
        <x:v>0</x:v>
      </x:c>
      <x:c r="V57" s="25" t="n">
        <x:f>N57+1.5*O57+3*P57+3*Q57</x:f>
        <x:v>75534117</x:v>
      </x:c>
      <x:c r="W57" s="25" t="n">
        <x:f>S57*3</x:f>
        <x:v>21816000</x:v>
      </x:c>
      <x:c r="X57" s="25" t="n">
        <x:f>IF(Z57="No",0,V57-W57)</x:f>
        <x:v>53718117</x:v>
      </x:c>
      <x:c r="Y57" s="26" t="n">
        <x:f>IF(Z57="No",0,IFERROR(V57/W57,0))</x:f>
        <x:v>3.462326595159516</x:v>
      </x:c>
      <x:c r="Z57" s="27" t="str">
        <x:f>IF(AND(U57=TRUE,V57=0),"No","Yes")</x:f>
        <x:v>Yes</x:v>
      </x:c>
      <x:c r="AA57" s="27" t="str">
        <x:f>IF(Z57="No","Not comparable",IF(X57&gt;0,"Yes","No"))</x:f>
        <x:v>Yes</x:v>
      </x:c>
    </x:row>
    <x:row r="58">
      <x:c r="A58" s="20" t="str">
        <x:v>small-alien-encounter-443-pve-1star</x:v>
      </x:c>
      <x:c r="B58" s="21" t="n">
        <x:v>46296</x:v>
      </x:c>
      <x:c r="C58" s="22" t="n">
        <x:v>50</x:v>
      </x:c>
      <x:c r="D58" s="20" t="str">
        <x:v>PTS scan card</x:v>
      </x:c>
      <x:c r="E58" s="20" t="str">
        <x:v>Small Alien Encounter</x:v>
      </x:c>
      <x:c r="F58" s="20" t="str">
        <x:v>PvE</x:v>
      </x:c>
      <x:c r="G58" s="23" t="n">
        <x:v>1</x:v>
      </x:c>
      <x:c r="H58" s="23" t="n">
        <x:v>443</x:v>
      </x:c>
      <x:c r="I58" s="23" t="str">
        <x:v>Combat</x:v>
      </x:c>
      <x:c r="J58" s="23" t="n">
        <x:v>1</x:v>
      </x:c>
      <x:c r="K58" s="23" t="n">
        <x:v>23</x:v>
      </x:c>
      <x:c r="L58" s="23" t="n">
        <x:v>3080</x:v>
      </x:c>
      <x:c r="M58" s="20" t="str">
        <x:v>possible</x:v>
      </x:c>
      <x:c r="N58" s="23" t="n">
        <x:v>0</x:v>
      </x:c>
      <x:c r="O58" s="23" t="n">
        <x:v>0</x:v>
      </x:c>
      <x:c r="P58" s="23" t="n">
        <x:v>0</x:v>
      </x:c>
      <x:c r="Q58" s="23" t="n">
        <x:v>0</x:v>
      </x:c>
      <x:c r="R58" s="24" t="b">
        <x:v>1</x:v>
      </x:c>
      <x:c r="S58" s="23" t="n">
        <x:v>895439</x:v>
      </x:c>
      <x:c r="T58" s="24" t="b">
        <x:v>0</x:v>
      </x:c>
      <x:c r="U58" s="24" t="b">
        <x:v>1</x:v>
      </x:c>
      <x:c r="V58" s="25" t="n">
        <x:f>N58+1.5*O58+3*P58+3*Q58</x:f>
        <x:v>0</x:v>
      </x:c>
      <x:c r="W58" s="25" t="n">
        <x:f>S58*3</x:f>
        <x:v>2686317</x:v>
      </x:c>
      <x:c r="X58" s="25" t="n">
        <x:f>IF(Z58="No",0,V58-W58)</x:f>
        <x:v>0</x:v>
      </x:c>
      <x:c r="Y58" s="26" t="n">
        <x:f>IF(Z58="No",0,IFERROR(V58/W58,0))</x:f>
        <x:v>0</x:v>
      </x:c>
      <x:c r="Z58" s="27" t="str">
        <x:f>IF(AND(U58=TRUE,V58=0),"No","Yes")</x:f>
        <x:v>No</x:v>
      </x:c>
      <x:c r="AA58" s="27" t="str">
        <x:f>IF(Z58="No","Not comparable",IF(X58&gt;0,"Yes","No"))</x:f>
        <x:v>Not comparable</x:v>
      </x:c>
    </x:row>
    <x:row r="59">
      <x:c r="A59" s="20" t="str">
        <x:v>defend-480-pve-4star</x:v>
      </x:c>
      <x:c r="B59" s="21" t="n">
        <x:v>46296</x:v>
      </x:c>
      <x:c r="C59" s="22" t="n">
        <x:v>50</x:v>
      </x:c>
      <x:c r="D59" s="20" t="str">
        <x:v>PTS scan card</x:v>
      </x:c>
      <x:c r="E59" s="20" t="str">
        <x:v>Defend</x:v>
      </x:c>
      <x:c r="F59" s="20" t="str">
        <x:v>PvE</x:v>
      </x:c>
      <x:c r="G59" s="23" t="n">
        <x:v>4</x:v>
      </x:c>
      <x:c r="H59" s="23" t="n">
        <x:v>480</x:v>
      </x:c>
      <x:c r="I59" s="23" t="str">
        <x:v>Combat</x:v>
      </x:c>
      <x:c r="J59" s="23" t="n">
        <x:v>3</x:v>
      </x:c>
      <x:c r="K59" s="23" t="n">
        <x:v>62</x:v>
      </x:c>
      <x:c r="L59" s="23" t="n">
        <x:v>7450</x:v>
      </x:c>
      <x:c r="M59" s="20" t="str">
        <x:v>possible</x:v>
      </x:c>
      <x:c r="N59" s="23" t="n">
        <x:v>0</x:v>
      </x:c>
      <x:c r="O59" s="23" t="n">
        <x:v>0</x:v>
      </x:c>
      <x:c r="P59" s="23" t="n">
        <x:v>0</x:v>
      </x:c>
      <x:c r="Q59" s="23" t="n">
        <x:v>0</x:v>
      </x:c>
      <x:c r="R59" s="24" t="b">
        <x:v>1</x:v>
      </x:c>
      <x:c r="S59" s="23" t="n">
        <x:v>11642000</x:v>
      </x:c>
      <x:c r="T59" s="24" t="b">
        <x:v>1</x:v>
      </x:c>
      <x:c r="U59" s="24" t="b">
        <x:v>1</x:v>
      </x:c>
      <x:c r="V59" s="25" t="n">
        <x:f>N59+1.5*O59+3*P59+3*Q59</x:f>
        <x:v>0</x:v>
      </x:c>
      <x:c r="W59" s="25" t="n">
        <x:f>S59*3</x:f>
        <x:v>34926000</x:v>
      </x:c>
      <x:c r="X59" s="25" t="n">
        <x:f>IF(Z59="No",0,V59-W59)</x:f>
        <x:v>0</x:v>
      </x:c>
      <x:c r="Y59" s="26" t="n">
        <x:f>IF(Z59="No",0,IFERROR(V59/W59,0))</x:f>
        <x:v>0</x:v>
      </x:c>
      <x:c r="Z59" s="27" t="str">
        <x:f>IF(AND(U59=TRUE,V59=0),"No","Yes")</x:f>
        <x:v>No</x:v>
      </x:c>
      <x:c r="AA59" s="27" t="str">
        <x:f>IF(Z59="No","Not comparable",IF(X59&gt;0,"Yes","No"))</x:f>
        <x:v>Not comparable</x:v>
      </x:c>
    </x:row>
    <x:row r="60">
      <x:c r="A60" s="20" t="str">
        <x:v>delivery-metal-409-pvp-4star</x:v>
      </x:c>
      <x:c r="B60" s="21" t="n">
        <x:v>46296</x:v>
      </x:c>
      <x:c r="C60" s="22" t="n">
        <x:v>50</x:v>
      </x:c>
      <x:c r="D60" s="20" t="str">
        <x:v>PTS scan card</x:v>
      </x:c>
      <x:c r="E60" s="20" t="str">
        <x:v>Delivery: Metal</x:v>
      </x:c>
      <x:c r="F60" s="20" t="str">
        <x:v>PvP</x:v>
      </x:c>
      <x:c r="G60" s="23" t="n">
        <x:v>4</x:v>
      </x:c>
      <x:c r="H60" s="23" t="n">
        <x:v>409</x:v>
      </x:c>
      <x:c r="I60" s="23" t="str">
        <x:v>Delivery</x:v>
      </x:c>
      <x:c r="J60" s="23" t="n">
        <x:v>4</x:v>
      </x:c>
      <x:c r="K60" s="23" t="n">
        <x:v>108</x:v>
      </x:c>
      <x:c r="L60" s="23" t="n">
        <x:v>6975</x:v>
      </x:c>
      <x:c r="M60" s="20" t="str">
        <x:v>possible</x:v>
      </x:c>
      <x:c r="N60" s="23" t="n">
        <x:v>227312888</x:v>
      </x:c>
      <x:c r="O60" s="23" t="n">
        <x:v>0</x:v>
      </x:c>
      <x:c r="P60" s="23" t="n">
        <x:v>0</x:v>
      </x:c>
      <x:c r="Q60" s="23" t="n">
        <x:v>0</x:v>
      </x:c>
      <x:c r="R60" s="24" t="b">
        <x:v>1</x:v>
      </x:c>
      <x:c r="S60" s="23" t="n">
        <x:v>13227000</x:v>
      </x:c>
      <x:c r="T60" s="24" t="b">
        <x:v>1</x:v>
      </x:c>
      <x:c r="U60" s="24" t="b">
        <x:v>0</x:v>
      </x:c>
      <x:c r="V60" s="25" t="n">
        <x:f>N60+1.5*O60+3*P60+3*Q60</x:f>
        <x:v>227312888</x:v>
      </x:c>
      <x:c r="W60" s="25" t="n">
        <x:f>S60*3</x:f>
        <x:v>39681000</x:v>
      </x:c>
      <x:c r="X60" s="25" t="n">
        <x:f>IF(Z60="No",0,V60-W60)</x:f>
        <x:v>187631888</x:v>
      </x:c>
      <x:c r="Y60" s="26" t="n">
        <x:f>IF(Z60="No",0,IFERROR(V60/W60,0))</x:f>
        <x:v>5.728507043673295</x:v>
      </x:c>
      <x:c r="Z60" s="27" t="str">
        <x:f>IF(AND(U60=TRUE,V60=0),"No","Yes")</x:f>
        <x:v>Yes</x:v>
      </x:c>
      <x:c r="AA60" s="27" t="str">
        <x:f>IF(Z60="No","Not comparable",IF(X60&gt;0,"Yes","No"))</x:f>
        <x:v>Yes</x:v>
      </x:c>
    </x:row>
    <x:row r="61">
      <x:c r="A61" s="20" t="str">
        <x:v>medium-alien-encounter-452-pve-1star</x:v>
      </x:c>
      <x:c r="B61" s="21" t="n">
        <x:v>46296</x:v>
      </x:c>
      <x:c r="C61" s="22" t="n">
        <x:v>50</x:v>
      </x:c>
      <x:c r="D61" s="20" t="str">
        <x:v>PTS scan card</x:v>
      </x:c>
      <x:c r="E61" s="20" t="str">
        <x:v>Medium Alien Encounter</x:v>
      </x:c>
      <x:c r="F61" s="20" t="str">
        <x:v>PvE</x:v>
      </x:c>
      <x:c r="G61" s="23" t="n">
        <x:v>1</x:v>
      </x:c>
      <x:c r="H61" s="23" t="n">
        <x:v>452</x:v>
      </x:c>
      <x:c r="I61" s="23" t="str">
        <x:v>Combat</x:v>
      </x:c>
      <x:c r="J61" s="23" t="n">
        <x:v>2</x:v>
      </x:c>
      <x:c r="K61" s="23" t="n">
        <x:v>47</x:v>
      </x:c>
      <x:c r="L61" s="23" t="n">
        <x:v>4220</x:v>
      </x:c>
      <x:c r="M61" s="20" t="str">
        <x:v>possible</x:v>
      </x:c>
      <x:c r="N61" s="23" t="n">
        <x:v>2834850</x:v>
      </x:c>
      <x:c r="O61" s="23" t="n">
        <x:v>1262008</x:v>
      </x:c>
      <x:c r="P61" s="23" t="n">
        <x:v>2670762</x:v>
      </x:c>
      <x:c r="Q61" s="23" t="n">
        <x:v>0</x:v>
      </x:c>
      <x:c r="R61" s="24" t="b">
        <x:v>1</x:v>
      </x:c>
      <x:c r="S61" s="23" t="n">
        <x:v>1827000</x:v>
      </x:c>
      <x:c r="T61" s="24" t="b">
        <x:v>1</x:v>
      </x:c>
      <x:c r="U61" s="24" t="b">
        <x:v>0</x:v>
      </x:c>
      <x:c r="V61" s="25" t="n">
        <x:f>N61+1.5*O61+3*P61+3*Q61</x:f>
        <x:v>12740148</x:v>
      </x:c>
      <x:c r="W61" s="25" t="n">
        <x:f>S61*3</x:f>
        <x:v>5481000</x:v>
      </x:c>
      <x:c r="X61" s="25" t="n">
        <x:f>IF(Z61="No",0,V61-W61)</x:f>
        <x:v>7259148</x:v>
      </x:c>
      <x:c r="Y61" s="26" t="n">
        <x:f>IF(Z61="No",0,IFERROR(V61/W61,0))</x:f>
        <x:v>2.3244203612479475</x:v>
      </x:c>
      <x:c r="Z61" s="27" t="str">
        <x:f>IF(AND(U61=TRUE,V61=0),"No","Yes")</x:f>
        <x:v>Yes</x:v>
      </x:c>
      <x:c r="AA61" s="27" t="str">
        <x:f>IF(Z61="No","Not comparable",IF(X61&gt;0,"Yes","No"))</x:f>
        <x:v>Yes</x:v>
      </x:c>
    </x:row>
    <x:row r="62">
      <x:c r="A62" s="20" t="str">
        <x:v>mysterious-nebula-411-pve-3star</x:v>
      </x:c>
      <x:c r="B62" s="21" t="n">
        <x:v>46296</x:v>
      </x:c>
      <x:c r="C62" s="22" t="n">
        <x:v>150</x:v>
      </x:c>
      <x:c r="D62" s="20" t="str">
        <x:v>PTS scan card</x:v>
      </x:c>
      <x:c r="E62" s="20" t="str">
        <x:v>Mysterious Nebula</x:v>
      </x:c>
      <x:c r="F62" s="20" t="str">
        <x:v>PvE</x:v>
      </x:c>
      <x:c r="G62" s="23" t="n">
        <x:v>3</x:v>
      </x:c>
      <x:c r="H62" s="23" t="n">
        <x:v>411</x:v>
      </x:c>
      <x:c r="I62" s="23" t="str">
        <x:v>Delivery</x:v>
      </x:c>
      <x:c r="J62" s="23" t="n">
        <x:v>1</x:v>
      </x:c>
      <x:c r="K62" s="23" t="n">
        <x:v>37</x:v>
      </x:c>
      <x:c r="L62" s="23" t="n">
        <x:v>12390</x:v>
      </x:c>
      <x:c r="M62" s="20" t="str">
        <x:v>possible</x:v>
      </x:c>
      <x:c r="N62" s="23" t="n">
        <x:v>0</x:v>
      </x:c>
      <x:c r="O62" s="23" t="n">
        <x:v>0</x:v>
      </x:c>
      <x:c r="P62" s="23" t="n">
        <x:v>0</x:v>
      </x:c>
      <x:c r="Q62" s="23" t="n">
        <x:v>0</x:v>
      </x:c>
      <x:c r="R62" s="24" t="b">
        <x:v>1</x:v>
      </x:c>
      <x:c r="S62" s="23" t="n">
        <x:v>2492000</x:v>
      </x:c>
      <x:c r="T62" s="24" t="b">
        <x:v>1</x:v>
      </x:c>
      <x:c r="U62" s="24" t="b">
        <x:v>1</x:v>
      </x:c>
      <x:c r="V62" s="25" t="n">
        <x:f>N62+1.5*O62+3*P62+3*Q62</x:f>
        <x:v>0</x:v>
      </x:c>
      <x:c r="W62" s="25" t="n">
        <x:f>S62*3</x:f>
        <x:v>7476000</x:v>
      </x:c>
      <x:c r="X62" s="25" t="n">
        <x:f>IF(Z62="No",0,V62-W62)</x:f>
        <x:v>0</x:v>
      </x:c>
      <x:c r="Y62" s="26" t="n">
        <x:f>IF(Z62="No",0,IFERROR(V62/W62,0))</x:f>
        <x:v>0</x:v>
      </x:c>
      <x:c r="Z62" s="27" t="str">
        <x:f>IF(AND(U62=TRUE,V62=0),"No","Yes")</x:f>
        <x:v>No</x:v>
      </x:c>
      <x:c r="AA62" s="27" t="str">
        <x:f>IF(Z62="No","Not comparable",IF(X62&gt;0,"Yes","No"))</x:f>
        <x:v>Not comparable</x:v>
      </x:c>
    </x:row>
    <x:row r="63">
      <x:c r="A63" s="20" t="str">
        <x:v>small-alien-encounter-506-pvp-3star</x:v>
      </x:c>
      <x:c r="B63" s="21" t="n">
        <x:v>46296</x:v>
      </x:c>
      <x:c r="C63" s="22" t="n">
        <x:v>150</x:v>
      </x:c>
      <x:c r="D63" s="20" t="str">
        <x:v>PTS scan card</x:v>
      </x:c>
      <x:c r="E63" s="20" t="str">
        <x:v>Small Alien Encounter</x:v>
      </x:c>
      <x:c r="F63" s="20" t="str">
        <x:v>PvP</x:v>
      </x:c>
      <x:c r="G63" s="23" t="n">
        <x:v>3</x:v>
      </x:c>
      <x:c r="H63" s="23" t="n">
        <x:v>506</x:v>
      </x:c>
      <x:c r="I63" s="23" t="str">
        <x:v>Combat</x:v>
      </x:c>
      <x:c r="J63" s="23" t="n">
        <x:v>1</x:v>
      </x:c>
      <x:c r="K63" s="23" t="n">
        <x:v>30</x:v>
      </x:c>
      <x:c r="L63" s="23" t="n">
        <x:v>4410</x:v>
      </x:c>
      <x:c r="M63" s="20" t="str">
        <x:v>possible</x:v>
      </x:c>
      <x:c r="N63" s="23" t="n">
        <x:v>0</x:v>
      </x:c>
      <x:c r="O63" s="23" t="n">
        <x:v>0</x:v>
      </x:c>
      <x:c r="P63" s="23" t="n">
        <x:v>18567948</x:v>
      </x:c>
      <x:c r="Q63" s="23" t="n">
        <x:v>0</x:v>
      </x:c>
      <x:c r="R63" s="24" t="b">
        <x:v>1</x:v>
      </x:c>
      <x:c r="S63" s="23" t="n">
        <x:v>3068000</x:v>
      </x:c>
      <x:c r="T63" s="24" t="b">
        <x:v>1</x:v>
      </x:c>
      <x:c r="U63" s="24" t="b">
        <x:v>0</x:v>
      </x:c>
      <x:c r="V63" s="25" t="n">
        <x:f>N63+1.5*O63+3*P63+3*Q63</x:f>
        <x:v>55703844</x:v>
      </x:c>
      <x:c r="W63" s="25" t="n">
        <x:f>S63*3</x:f>
        <x:v>9204000</x:v>
      </x:c>
      <x:c r="X63" s="25" t="n">
        <x:f>IF(Z63="No",0,V63-W63)</x:f>
        <x:v>46499844</x:v>
      </x:c>
      <x:c r="Y63" s="26" t="n">
        <x:f>IF(Z63="No",0,IFERROR(V63/W63,0))</x:f>
        <x:v>6.052134289439374</x:v>
      </x:c>
      <x:c r="Z63" s="27" t="str">
        <x:f>IF(AND(U63=TRUE,V63=0),"No","Yes")</x:f>
        <x:v>Yes</x:v>
      </x:c>
      <x:c r="AA63" s="27" t="str">
        <x:f>IF(Z63="No","Not comparable",IF(X63&gt;0,"Yes","No"))</x:f>
        <x:v>Yes</x:v>
      </x:c>
    </x:row>
    <x:row r="64">
      <x:c r="A64" s="20" t="str">
        <x:v>medium-pirate-encounter-409-pve-4star</x:v>
      </x:c>
      <x:c r="B64" s="21" t="n">
        <x:v>46296</x:v>
      </x:c>
      <x:c r="C64" s="22" t="n">
        <x:v>150</x:v>
      </x:c>
      <x:c r="D64" s="20" t="str">
        <x:v>PTS scan card</x:v>
      </x:c>
      <x:c r="E64" s="20" t="str">
        <x:v>Medium Pirate Encounter</x:v>
      </x:c>
      <x:c r="F64" s="20" t="str">
        <x:v>PvE</x:v>
      </x:c>
      <x:c r="G64" s="23" t="n">
        <x:v>4</x:v>
      </x:c>
      <x:c r="H64" s="23" t="n">
        <x:v>409</x:v>
      </x:c>
      <x:c r="I64" s="23" t="str">
        <x:v>Combat</x:v>
      </x:c>
      <x:c r="J64" s="23" t="n">
        <x:v>3</x:v>
      </x:c>
      <x:c r="K64" s="23" t="n">
        <x:v>92</x:v>
      </x:c>
      <x:c r="L64" s="23" t="n">
        <x:v>10490</x:v>
      </x:c>
      <x:c r="M64" s="20" t="str">
        <x:v>possible</x:v>
      </x:c>
      <x:c r="N64" s="23" t="n">
        <x:v>22524861</x:v>
      </x:c>
      <x:c r="O64" s="23" t="n">
        <x:v>0</x:v>
      </x:c>
      <x:c r="P64" s="23" t="n">
        <x:v>9098277</x:v>
      </x:c>
      <x:c r="Q64" s="23" t="n">
        <x:v>0</x:v>
      </x:c>
      <x:c r="R64" s="24" t="b">
        <x:v>1</x:v>
      </x:c>
      <x:c r="S64" s="23" t="n">
        <x:v>9920000</x:v>
      </x:c>
      <x:c r="T64" s="24" t="b">
        <x:v>1</x:v>
      </x:c>
      <x:c r="U64" s="24" t="b">
        <x:v>1</x:v>
      </x:c>
      <x:c r="V64" s="25" t="n">
        <x:f>N64+1.5*O64+3*P64+3*Q64</x:f>
        <x:v>49819692</x:v>
      </x:c>
      <x:c r="W64" s="25" t="n">
        <x:f>S64*3</x:f>
        <x:v>29760000</x:v>
      </x:c>
      <x:c r="X64" s="25" t="n">
        <x:f>IF(Z64="No",0,V64-W64)</x:f>
        <x:v>20059692</x:v>
      </x:c>
      <x:c r="Y64" s="26" t="n">
        <x:f>IF(Z64="No",0,IFERROR(V64/W64,0))</x:f>
        <x:v>1.6740487903225807</x:v>
      </x:c>
      <x:c r="Z64" s="27" t="str">
        <x:f>IF(AND(U64=TRUE,V64=0),"No","Yes")</x:f>
        <x:v>Yes</x:v>
      </x:c>
      <x:c r="AA64" s="27" t="str">
        <x:f>IF(Z64="No","Not comparable",IF(X64&gt;0,"Yes","No"))</x:f>
        <x:v>Yes</x:v>
      </x:c>
    </x:row>
    <x:row r="65">
      <x:c r="A65" s="20" t="str">
        <x:v>rescue-413-pve-1star</x:v>
      </x:c>
      <x:c r="B65" s="21" t="n">
        <x:v>46296</x:v>
      </x:c>
      <x:c r="C65" s="22" t="n">
        <x:v>150</x:v>
      </x:c>
      <x:c r="D65" s="20" t="str">
        <x:v>PTS scan card</x:v>
      </x:c>
      <x:c r="E65" s="20" t="str">
        <x:v>Rescue</x:v>
      </x:c>
      <x:c r="F65" s="20" t="str">
        <x:v>PvE</x:v>
      </x:c>
      <x:c r="G65" s="23" t="n">
        <x:v>1</x:v>
      </x:c>
      <x:c r="H65" s="23" t="n">
        <x:v>413</x:v>
      </x:c>
      <x:c r="I65" s="23" t="str">
        <x:v>Combat</x:v>
      </x:c>
      <x:c r="J65" s="23" t="n">
        <x:v>4</x:v>
      </x:c>
      <x:c r="K65" s="23" t="n">
        <x:v>119</x:v>
      </x:c>
      <x:c r="L65" s="23" t="n">
        <x:v>6025</x:v>
      </x:c>
      <x:c r="M65" s="20" t="str">
        <x:v>possible</x:v>
      </x:c>
      <x:c r="N65" s="23" t="n">
        <x:v>3103702</x:v>
      </x:c>
      <x:c r="O65" s="23" t="n">
        <x:v>1381695</x:v>
      </x:c>
      <x:c r="P65" s="23" t="n">
        <x:v>426241</x:v>
      </x:c>
      <x:c r="Q65" s="23" t="n">
        <x:v>0</x:v>
      </x:c>
      <x:c r="R65" s="24" t="b">
        <x:v>1</x:v>
      </x:c>
      <x:c r="S65" s="23" t="n">
        <x:v>3339000</x:v>
      </x:c>
      <x:c r="T65" s="24" t="b">
        <x:v>1</x:v>
      </x:c>
      <x:c r="U65" s="24" t="b">
        <x:v>1</x:v>
      </x:c>
      <x:c r="V65" s="25" t="n">
        <x:f>N65+1.5*O65+3*P65+3*Q65</x:f>
        <x:v>6454967.5</x:v>
      </x:c>
      <x:c r="W65" s="25" t="n">
        <x:f>S65*3</x:f>
        <x:v>10017000</x:v>
      </x:c>
      <x:c r="X65" s="25" t="n">
        <x:f>IF(Z65="No",0,V65-W65)</x:f>
        <x:v>-3562032.5</x:v>
      </x:c>
      <x:c r="Y65" s="26" t="n">
        <x:f>IF(Z65="No",0,IFERROR(V65/W65,0))</x:f>
        <x:v>0.6444012678446641</x:v>
      </x:c>
      <x:c r="Z65" s="27" t="str">
        <x:f>IF(AND(U65=TRUE,V65=0),"No","Yes")</x:f>
        <x:v>Yes</x:v>
      </x:c>
      <x:c r="AA65" s="27" t="str">
        <x:f>IF(Z65="No","Not comparable",IF(X65&gt;0,"Yes","No"))</x:f>
        <x:v>No</x:v>
      </x:c>
    </x:row>
    <x:row r="66">
      <x:c r="A66" s="20" t="str">
        <x:v>s10-20261002-01</x:v>
      </x:c>
      <x:c r="B66" s="21" t="n">
        <x:v>46297</x:v>
      </x:c>
      <x:c r="C66" s="22" t="n">
        <x:v>10</x:v>
      </x:c>
      <x:c r="D66" s="20" t="str">
        <x:v>PTS scan card</x:v>
      </x:c>
      <x:c r="E66" s="20" t="str">
        <x:v>Delivery: Metal</x:v>
      </x:c>
      <x:c r="F66" s="20" t="str">
        <x:v>PvP</x:v>
      </x:c>
      <x:c r="G66" s="23" t="n">
        <x:v>5</x:v>
      </x:c>
      <x:c r="H66" s="23" t="n">
        <x:v>566</x:v>
      </x:c>
      <x:c r="I66" s="23" t="str">
        <x:v>Delivery</x:v>
      </x:c>
      <x:c r="J66" s="23" t="n">
        <x:v>4</x:v>
      </x:c>
      <x:c r="K66" s="23" t="n">
        <x:v>87</x:v>
      </x:c>
      <x:c r="L66" s="23" t="n">
        <x:v>3555</x:v>
      </x:c>
      <x:c r="M66" s="20" t="str">
        <x:v>possible</x:v>
      </x:c>
      <x:c r="N66" s="23" t="n">
        <x:v>363442884</x:v>
      </x:c>
      <x:c r="O66" s="23" t="n">
        <x:v>0</x:v>
      </x:c>
      <x:c r="P66" s="23" t="n">
        <x:v>0</x:v>
      </x:c>
      <x:c r="Q66" s="23" t="n">
        <x:v>0</x:v>
      </x:c>
      <x:c r="R66" s="24" t="b">
        <x:v>1</x:v>
      </x:c>
      <x:c r="S66" s="23" t="n">
        <x:v>21443000</x:v>
      </x:c>
      <x:c r="T66" s="24" t="b">
        <x:v>1</x:v>
      </x:c>
      <x:c r="U66" s="24" t="b">
        <x:v>1</x:v>
      </x:c>
      <x:c r="V66" s="25" t="n">
        <x:f>N66+1.5*O66+3*P66+3*Q66</x:f>
        <x:v>363442884</x:v>
      </x:c>
      <x:c r="W66" s="25" t="n">
        <x:f>S66*3</x:f>
        <x:v>64329000</x:v>
      </x:c>
      <x:c r="X66" s="25" t="n">
        <x:f>IF(Z66="No",0,V66-W66)</x:f>
        <x:v>299113884</x:v>
      </x:c>
      <x:c r="Y66" s="26" t="n">
        <x:f>IF(Z66="No",0,IFERROR(V66/W66,0))</x:f>
        <x:v>5.649751807116542</x:v>
      </x:c>
      <x:c r="Z66" s="27" t="str">
        <x:f>IF(AND(U66=TRUE,V66=0),"No","Yes")</x:f>
        <x:v>Yes</x:v>
      </x:c>
      <x:c r="AA66" s="27" t="str">
        <x:f>IF(Z66="No","Not comparable",IF(X66&gt;0,"Yes","No"))</x:f>
        <x:v>Yes</x:v>
      </x:c>
    </x:row>
    <x:row r="67">
      <x:c r="A67" s="20" t="str">
        <x:v>s10-20261002-02</x:v>
      </x:c>
      <x:c r="B67" s="21" t="n">
        <x:v>46297</x:v>
      </x:c>
      <x:c r="C67" s="22" t="n">
        <x:v>10</x:v>
      </x:c>
      <x:c r="D67" s="20" t="str">
        <x:v>PTS scan card</x:v>
      </x:c>
      <x:c r="E67" s="20" t="str">
        <x:v>Small Alien Encounter</x:v>
      </x:c>
      <x:c r="F67" s="20" t="str">
        <x:v>PvP</x:v>
      </x:c>
      <x:c r="G67" s="23" t="n">
        <x:v>5</x:v>
      </x:c>
      <x:c r="H67" s="23" t="n">
        <x:v>594</x:v>
      </x:c>
      <x:c r="I67" s="23" t="str">
        <x:v>Combat</x:v>
      </x:c>
      <x:c r="J67" s="23" t="n">
        <x:v>3</x:v>
      </x:c>
      <x:c r="K67" s="23" t="n">
        <x:v>53</x:v>
      </x:c>
      <x:c r="L67" s="23" t="n">
        <x:v>3270</x:v>
      </x:c>
      <x:c r="M67" s="20" t="str">
        <x:v>possible</x:v>
      </x:c>
      <x:c r="N67" s="23" t="n">
        <x:v>0</x:v>
      </x:c>
      <x:c r="O67" s="23" t="n">
        <x:v>116561398</x:v>
      </x:c>
      <x:c r="P67" s="23" t="n">
        <x:v>0</x:v>
      </x:c>
      <x:c r="Q67" s="23" t="n">
        <x:v>0</x:v>
      </x:c>
      <x:c r="R67" s="24" t="b">
        <x:v>1</x:v>
      </x:c>
      <x:c r="S67" s="23" t="n">
        <x:v>16878000</x:v>
      </x:c>
      <x:c r="T67" s="24" t="b">
        <x:v>1</x:v>
      </x:c>
      <x:c r="U67" s="24" t="b">
        <x:v>1</x:v>
      </x:c>
      <x:c r="V67" s="25" t="n">
        <x:f>N67+1.5*O67+3*P67+3*Q67</x:f>
        <x:v>174842097</x:v>
      </x:c>
      <x:c r="W67" s="25" t="n">
        <x:f>S67*3</x:f>
        <x:v>50634000</x:v>
      </x:c>
      <x:c r="X67" s="25" t="n">
        <x:f>IF(Z67="No",0,V67-W67)</x:f>
        <x:v>124208097</x:v>
      </x:c>
      <x:c r="Y67" s="26" t="n">
        <x:f>IF(Z67="No",0,IFERROR(V67/W67,0))</x:f>
        <x:v>3.453057175020737</x:v>
      </x:c>
      <x:c r="Z67" s="27" t="str">
        <x:f>IF(AND(U67=TRUE,V67=0),"No","Yes")</x:f>
        <x:v>Yes</x:v>
      </x:c>
      <x:c r="AA67" s="27" t="str">
        <x:f>IF(Z67="No","Not comparable",IF(X67&gt;0,"Yes","No"))</x:f>
        <x:v>Yes</x:v>
      </x:c>
    </x:row>
    <x:row r="68">
      <x:c r="A68" s="20" t="str">
        <x:v>s10-20261002-03</x:v>
      </x:c>
      <x:c r="B68" s="21" t="n">
        <x:v>46297</x:v>
      </x:c>
      <x:c r="C68" s="22" t="n">
        <x:v>10</x:v>
      </x:c>
      <x:c r="D68" s="20" t="str">
        <x:v>PTS scan card</x:v>
      </x:c>
      <x:c r="E68" s="20" t="str">
        <x:v>Rescue</x:v>
      </x:c>
      <x:c r="F68" s="20" t="str">
        <x:v>PvP</x:v>
      </x:c>
      <x:c r="G68" s="23" t="n">
        <x:v>2</x:v>
      </x:c>
      <x:c r="H68" s="23" t="n">
        <x:v>732</x:v>
      </x:c>
      <x:c r="I68" s="23" t="str">
        <x:v>Combat</x:v>
      </x:c>
      <x:c r="J68" s="23" t="n">
        <x:v>2</x:v>
      </x:c>
      <x:c r="K68" s="23" t="n">
        <x:v>34</x:v>
      </x:c>
      <x:c r="L68" s="23" t="n">
        <x:v>3270</x:v>
      </x:c>
      <x:c r="M68" s="20" t="str">
        <x:v>possible</x:v>
      </x:c>
      <x:c r="N68" s="23" t="n">
        <x:v>0</x:v>
      </x:c>
      <x:c r="O68" s="23" t="n">
        <x:v>0</x:v>
      </x:c>
      <x:c r="P68" s="23" t="n">
        <x:v>0</x:v>
      </x:c>
      <x:c r="Q68" s="23" t="n">
        <x:v>0</x:v>
      </x:c>
      <x:c r="R68" s="24" t="b">
        <x:v>1</x:v>
      </x:c>
      <x:c r="S68" s="23" t="n">
        <x:v>5546000</x:v>
      </x:c>
      <x:c r="T68" s="24" t="b">
        <x:v>1</x:v>
      </x:c>
      <x:c r="U68" s="24" t="b">
        <x:v>1</x:v>
      </x:c>
      <x:c r="V68" s="25" t="n">
        <x:f>N68+1.5*O68+3*P68+3*Q68</x:f>
        <x:v>0</x:v>
      </x:c>
      <x:c r="W68" s="25" t="n">
        <x:f>S68*3</x:f>
        <x:v>16638000</x:v>
      </x:c>
      <x:c r="X68" s="25" t="n">
        <x:f>IF(Z68="No",0,V68-W68)</x:f>
        <x:v>0</x:v>
      </x:c>
      <x:c r="Y68" s="26" t="n">
        <x:f>IF(Z68="No",0,IFERROR(V68/W68,0))</x:f>
        <x:v>0</x:v>
      </x:c>
      <x:c r="Z68" s="27" t="str">
        <x:f>IF(AND(U68=TRUE,V68=0),"No","Yes")</x:f>
        <x:v>No</x:v>
      </x:c>
      <x:c r="AA68" s="27" t="str">
        <x:f>IF(Z68="No","Not comparable",IF(X68&gt;0,"Yes","No"))</x:f>
        <x:v>Not comparable</x:v>
      </x:c>
    </x:row>
    <x:row r="69">
      <x:c r="A69" s="20" t="str">
        <x:v>s10-20261002-04</x:v>
      </x:c>
      <x:c r="B69" s="21" t="n">
        <x:v>46297</x:v>
      </x:c>
      <x:c r="C69" s="22" t="n">
        <x:v>10</x:v>
      </x:c>
      <x:c r="D69" s="20" t="str">
        <x:v>PTS scan card</x:v>
      </x:c>
      <x:c r="E69" s="20" t="str">
        <x:v>Delivery: Metal</x:v>
      </x:c>
      <x:c r="F69" s="20" t="str">
        <x:v>PvP</x:v>
      </x:c>
      <x:c r="G69" s="23" t="n">
        <x:v>5</x:v>
      </x:c>
      <x:c r="H69" s="23" t="n">
        <x:v>543</x:v>
      </x:c>
      <x:c r="I69" s="23" t="str">
        <x:v>Delivery</x:v>
      </x:c>
      <x:c r="J69" s="23" t="n">
        <x:v>4</x:v>
      </x:c>
      <x:c r="K69" s="23" t="n">
        <x:v>91</x:v>
      </x:c>
      <x:c r="L69" s="23" t="n">
        <x:v>2985</x:v>
      </x:c>
      <x:c r="M69" s="20" t="str">
        <x:v>possible</x:v>
      </x:c>
      <x:c r="N69" s="23" t="n">
        <x:v>348673992</x:v>
      </x:c>
      <x:c r="O69" s="23" t="n">
        <x:v>0</x:v>
      </x:c>
      <x:c r="P69" s="23" t="n">
        <x:v>0</x:v>
      </x:c>
      <x:c r="Q69" s="23" t="n">
        <x:v>0</x:v>
      </x:c>
      <x:c r="R69" s="24" t="b">
        <x:v>1</x:v>
      </x:c>
      <x:c r="S69" s="23" t="n">
        <x:v>20571000</x:v>
      </x:c>
      <x:c r="T69" s="24" t="b">
        <x:v>1</x:v>
      </x:c>
      <x:c r="U69" s="24" t="b">
        <x:v>1</x:v>
      </x:c>
      <x:c r="V69" s="25" t="n">
        <x:f>N69+1.5*O69+3*P69+3*Q69</x:f>
        <x:v>348673992</x:v>
      </x:c>
      <x:c r="W69" s="25" t="n">
        <x:f>S69*3</x:f>
        <x:v>61713000</x:v>
      </x:c>
      <x:c r="X69" s="25" t="n">
        <x:f>IF(Z69="No",0,V69-W69)</x:f>
        <x:v>286960992</x:v>
      </x:c>
      <x:c r="Y69" s="26" t="n">
        <x:f>IF(Z69="No",0,IFERROR(V69/W69,0))</x:f>
        <x:v>5.649927762383938</x:v>
      </x:c>
      <x:c r="Z69" s="27" t="str">
        <x:f>IF(AND(U69=TRUE,V69=0),"No","Yes")</x:f>
        <x:v>Yes</x:v>
      </x:c>
      <x:c r="AA69" s="27" t="str">
        <x:f>IF(Z69="No","Not comparable",IF(X69&gt;0,"Yes","No"))</x:f>
        <x:v>Yes</x:v>
      </x:c>
    </x:row>
    <x:row r="70">
      <x:c r="A70" s="20" t="str">
        <x:v>s10-20261002-05</x:v>
      </x:c>
      <x:c r="B70" s="21" t="n">
        <x:v>46297</x:v>
      </x:c>
      <x:c r="C70" s="22" t="n">
        <x:v>10</x:v>
      </x:c>
      <x:c r="D70" s="20" t="str">
        <x:v>PTS scan card</x:v>
      </x:c>
      <x:c r="E70" s="20" t="str">
        <x:v>Medium Pirate Encounter</x:v>
      </x:c>
      <x:c r="F70" s="20" t="str">
        <x:v>PvE</x:v>
      </x:c>
      <x:c r="G70" s="23" t="n">
        <x:v>3</x:v>
      </x:c>
      <x:c r="H70" s="23" t="n">
        <x:v>602</x:v>
      </x:c>
      <x:c r="I70" s="23" t="str">
        <x:v>Combat</x:v>
      </x:c>
      <x:c r="J70" s="23" t="n">
        <x:v>2</x:v>
      </x:c>
      <x:c r="K70" s="23" t="n">
        <x:v>37</x:v>
      </x:c>
      <x:c r="L70" s="23" t="n">
        <x:v>2985</x:v>
      </x:c>
      <x:c r="M70" s="20" t="str">
        <x:v>possible</x:v>
      </x:c>
      <x:c r="N70" s="23" t="n">
        <x:v>0</x:v>
      </x:c>
      <x:c r="O70" s="23" t="n">
        <x:v>0</x:v>
      </x:c>
      <x:c r="P70" s="23" t="n">
        <x:v>9907346</x:v>
      </x:c>
      <x:c r="Q70" s="23" t="n">
        <x:v>0</x:v>
      </x:c>
      <x:c r="R70" s="24" t="b">
        <x:v>1</x:v>
      </x:c>
      <x:c r="S70" s="23" t="n">
        <x:v>6842000</x:v>
      </x:c>
      <x:c r="T70" s="24" t="b">
        <x:v>1</x:v>
      </x:c>
      <x:c r="U70" s="24" t="b">
        <x:v>1</x:v>
      </x:c>
      <x:c r="V70" s="25" t="n">
        <x:f>N70+1.5*O70+3*P70+3*Q70</x:f>
        <x:v>29722038</x:v>
      </x:c>
      <x:c r="W70" s="25" t="n">
        <x:f>S70*3</x:f>
        <x:v>20526000</x:v>
      </x:c>
      <x:c r="X70" s="25" t="n">
        <x:f>IF(Z70="No",0,V70-W70)</x:f>
        <x:v>9196038</x:v>
      </x:c>
      <x:c r="Y70" s="26" t="n">
        <x:f>IF(Z70="No",0,IFERROR(V70/W70,0))</x:f>
        <x:v>1.4480190002923121</x:v>
      </x:c>
      <x:c r="Z70" s="27" t="str">
        <x:f>IF(AND(U70=TRUE,V70=0),"No","Yes")</x:f>
        <x:v>Yes</x:v>
      </x:c>
      <x:c r="AA70" s="27" t="str">
        <x:f>IF(Z70="No","Not comparable",IF(X70&gt;0,"Yes","No"))</x:f>
        <x:v>Yes</x:v>
      </x:c>
    </x:row>
    <x:row r="71">
      <x:c r="A71" s="20" t="str">
        <x:v>s10-20261002-06</x:v>
      </x:c>
      <x:c r="B71" s="21" t="n">
        <x:v>46297</x:v>
      </x:c>
      <x:c r="C71" s="22" t="n">
        <x:v>10</x:v>
      </x:c>
      <x:c r="D71" s="20" t="str">
        <x:v>PTS scan card</x:v>
      </x:c>
      <x:c r="E71" s="20" t="str">
        <x:v>Small Alien Encounter</x:v>
      </x:c>
      <x:c r="F71" s="20" t="str">
        <x:v>PvP</x:v>
      </x:c>
      <x:c r="G71" s="23" t="n">
        <x:v>5</x:v>
      </x:c>
      <x:c r="H71" s="23" t="n">
        <x:v>668</x:v>
      </x:c>
      <x:c r="I71" s="23" t="str">
        <x:v>Combat</x:v>
      </x:c>
      <x:c r="J71" s="23" t="n">
        <x:v>5</x:v>
      </x:c>
      <x:c r="K71" s="23" t="n">
        <x:v>91</x:v>
      </x:c>
      <x:c r="L71" s="23" t="n">
        <x:v>3080</x:v>
      </x:c>
      <x:c r="M71" s="20" t="str">
        <x:v>possible</x:v>
      </x:c>
      <x:c r="N71" s="23" t="n">
        <x:v>161310632</x:v>
      </x:c>
      <x:c r="O71" s="23" t="n">
        <x:v>54411605</x:v>
      </x:c>
      <x:c r="P71" s="23" t="n">
        <x:v>0</x:v>
      </x:c>
      <x:c r="Q71" s="23" t="n">
        <x:v>0</x:v>
      </x:c>
      <x:c r="R71" s="24" t="b">
        <x:v>1</x:v>
      </x:c>
      <x:c r="S71" s="23" t="n">
        <x:v>25307000</x:v>
      </x:c>
      <x:c r="T71" s="24" t="b">
        <x:v>1</x:v>
      </x:c>
      <x:c r="U71" s="24" t="b">
        <x:v>1</x:v>
      </x:c>
      <x:c r="V71" s="25" t="n">
        <x:f>N71+1.5*O71+3*P71+3*Q71</x:f>
        <x:v>242928039.5</x:v>
      </x:c>
      <x:c r="W71" s="25" t="n">
        <x:f>S71*3</x:f>
        <x:v>75921000</x:v>
      </x:c>
      <x:c r="X71" s="25" t="n">
        <x:f>IF(Z71="No",0,V71-W71)</x:f>
        <x:v>167007039.5</x:v>
      </x:c>
      <x:c r="Y71" s="26" t="n">
        <x:f>IF(Z71="No",0,IFERROR(V71/W71,0))</x:f>
        <x:v>3.1997476258215776</x:v>
      </x:c>
      <x:c r="Z71" s="27" t="str">
        <x:f>IF(AND(U71=TRUE,V71=0),"No","Yes")</x:f>
        <x:v>Yes</x:v>
      </x:c>
      <x:c r="AA71" s="27" t="str">
        <x:f>IF(Z71="No","Not comparable",IF(X71&gt;0,"Yes","No"))</x:f>
        <x:v>Yes</x:v>
      </x:c>
    </x:row>
    <x:row r="72">
      <x:c r="A72" s="20" t="str">
        <x:v>s10-20261002-07</x:v>
      </x:c>
      <x:c r="B72" s="21" t="n">
        <x:v>46297</x:v>
      </x:c>
      <x:c r="C72" s="22" t="n">
        <x:v>10</x:v>
      </x:c>
      <x:c r="D72" s="20" t="str">
        <x:v>PTS scan card</x:v>
      </x:c>
      <x:c r="E72" s="20" t="str">
        <x:v>Small Alien Encounter</x:v>
      </x:c>
      <x:c r="F72" s="20" t="str">
        <x:v>PvE</x:v>
      </x:c>
      <x:c r="G72" s="23" t="n">
        <x:v>3</x:v>
      </x:c>
      <x:c r="H72" s="23" t="n">
        <x:v>599</x:v>
      </x:c>
      <x:c r="I72" s="23" t="str">
        <x:v>Combat</x:v>
      </x:c>
      <x:c r="J72" s="23" t="n">
        <x:v>2</x:v>
      </x:c>
      <x:c r="K72" s="23" t="n">
        <x:v>37</x:v>
      </x:c>
      <x:c r="L72" s="23" t="n">
        <x:v>3555</x:v>
      </x:c>
      <x:c r="M72" s="20" t="str">
        <x:v>possible</x:v>
      </x:c>
      <x:c r="N72" s="23" t="n">
        <x:v>0</x:v>
      </x:c>
      <x:c r="O72" s="23" t="n">
        <x:v>0</x:v>
      </x:c>
      <x:c r="P72" s="23" t="n">
        <x:v>8449691</x:v>
      </x:c>
      <x:c r="Q72" s="23" t="n">
        <x:v>0</x:v>
      </x:c>
      <x:c r="R72" s="24" t="b">
        <x:v>1</x:v>
      </x:c>
      <x:c r="S72" s="23" t="n">
        <x:v>6808000</x:v>
      </x:c>
      <x:c r="T72" s="24" t="b">
        <x:v>1</x:v>
      </x:c>
      <x:c r="U72" s="24" t="b">
        <x:v>1</x:v>
      </x:c>
      <x:c r="V72" s="25" t="n">
        <x:f>N72+1.5*O72+3*P72+3*Q72</x:f>
        <x:v>25349073</x:v>
      </x:c>
      <x:c r="W72" s="25" t="n">
        <x:f>S72*3</x:f>
        <x:v>20424000</x:v>
      </x:c>
      <x:c r="X72" s="25" t="n">
        <x:f>IF(Z72="No",0,V72-W72)</x:f>
        <x:v>4925073</x:v>
      </x:c>
      <x:c r="Y72" s="26" t="n">
        <x:f>IF(Z72="No",0,IFERROR(V72/W72,0))</x:f>
        <x:v>1.2411414512338426</x:v>
      </x:c>
      <x:c r="Z72" s="27" t="str">
        <x:f>IF(AND(U72=TRUE,V72=0),"No","Yes")</x:f>
        <x:v>Yes</x:v>
      </x:c>
      <x:c r="AA72" s="27" t="str">
        <x:f>IF(Z72="No","Not comparable",IF(X72&gt;0,"Yes","No"))</x:f>
        <x:v>Yes</x:v>
      </x:c>
    </x:row>
    <x:row r="73">
      <x:c r="A73" s="20" t="str">
        <x:v>s10-20261002-08</x:v>
      </x:c>
      <x:c r="B73" s="21" t="n">
        <x:v>46297</x:v>
      </x:c>
      <x:c r="C73" s="22" t="n">
        <x:v>10</x:v>
      </x:c>
      <x:c r="D73" s="20" t="str">
        <x:v>PTS scan card</x:v>
      </x:c>
      <x:c r="E73" s="20" t="str">
        <x:v>Delivery: Metal</x:v>
      </x:c>
      <x:c r="F73" s="20" t="str">
        <x:v>PvP</x:v>
      </x:c>
      <x:c r="G73" s="23" t="n">
        <x:v>3</x:v>
      </x:c>
      <x:c r="H73" s="23" t="n">
        <x:v>732</x:v>
      </x:c>
      <x:c r="I73" s="23" t="str">
        <x:v>Delivery</x:v>
      </x:c>
      <x:c r="J73" s="23" t="n">
        <x:v>1</x:v>
      </x:c>
      <x:c r="K73" s="23" t="n">
        <x:v>21</x:v>
      </x:c>
      <x:c r="L73" s="23" t="n">
        <x:v>3080</x:v>
      </x:c>
      <x:c r="M73" s="20" t="str">
        <x:v>possible</x:v>
      </x:c>
      <x:c r="N73" s="23" t="n">
        <x:v>66588378</x:v>
      </x:c>
      <x:c r="O73" s="23" t="n">
        <x:v>0</x:v>
      </x:c>
      <x:c r="P73" s="23" t="n">
        <x:v>0</x:v>
      </x:c>
      <x:c r="Q73" s="23" t="n">
        <x:v>0</x:v>
      </x:c>
      <x:c r="R73" s="24" t="b">
        <x:v>1</x:v>
      </x:c>
      <x:c r="S73" s="23" t="n">
        <x:v>4159000</x:v>
      </x:c>
      <x:c r="T73" s="24" t="b">
        <x:v>1</x:v>
      </x:c>
      <x:c r="U73" s="24" t="b">
        <x:v>1</x:v>
      </x:c>
      <x:c r="V73" s="25" t="n">
        <x:f>N73+1.5*O73+3*P73+3*Q73</x:f>
        <x:v>66588378</x:v>
      </x:c>
      <x:c r="W73" s="25" t="n">
        <x:f>S73*3</x:f>
        <x:v>12477000</x:v>
      </x:c>
      <x:c r="X73" s="25" t="n">
        <x:f>IF(Z73="No",0,V73-W73)</x:f>
        <x:v>54111378</x:v>
      </x:c>
      <x:c r="Y73" s="26" t="n">
        <x:f>IF(Z73="No",0,IFERROR(V73/W73,0))</x:f>
        <x:v>5.3368901178167825</x:v>
      </x:c>
      <x:c r="Z73" s="27" t="str">
        <x:f>IF(AND(U73=TRUE,V73=0),"No","Yes")</x:f>
        <x:v>Yes</x:v>
      </x:c>
      <x:c r="AA73" s="27" t="str">
        <x:f>IF(Z73="No","Not comparable",IF(X73&gt;0,"Yes","No"))</x:f>
        <x:v>Yes</x:v>
      </x:c>
    </x:row>
    <x:row r="74">
      <x:c r="A74" s="20" t="str">
        <x:v>s10-20261002-09</x:v>
      </x:c>
      <x:c r="B74" s="21" t="n">
        <x:v>46297</x:v>
      </x:c>
      <x:c r="C74" s="22" t="n">
        <x:v>10</x:v>
      </x:c>
      <x:c r="D74" s="20" t="str">
        <x:v>PTS scan card</x:v>
      </x:c>
      <x:c r="E74" s="20" t="str">
        <x:v>Lost Debris Field</x:v>
      </x:c>
      <x:c r="F74" s="20" t="str">
        <x:v>PvP</x:v>
      </x:c>
      <x:c r="G74" s="23" t="n">
        <x:v>1</x:v>
      </x:c>
      <x:c r="H74" s="23" t="n">
        <x:v>682</x:v>
      </x:c>
      <x:c r="I74" s="23" t="str">
        <x:v>Combat</x:v>
      </x:c>
      <x:c r="J74" s="23" t="n">
        <x:v>6</x:v>
      </x:c>
      <x:c r="K74" s="23" t="n">
        <x:v>107</x:v>
      </x:c>
      <x:c r="L74" s="23" t="n">
        <x:v>3555</x:v>
      </x:c>
      <x:c r="M74" s="20" t="str">
        <x:v>possible</x:v>
      </x:c>
      <x:c r="N74" s="23" t="n">
        <x:v>34061184</x:v>
      </x:c>
      <x:c r="O74" s="23" t="n">
        <x:v>15165690</x:v>
      </x:c>
      <x:c r="P74" s="23" t="n">
        <x:v>5088183</x:v>
      </x:c>
      <x:c r="Q74" s="23" t="n">
        <x:v>7569152</x:v>
      </x:c>
      <x:c r="R74" s="24" t="b">
        <x:v>1</x:v>
      </x:c>
      <x:c r="S74" s="23" t="n">
        <x:v>7751000</x:v>
      </x:c>
      <x:c r="T74" s="24" t="b">
        <x:v>1</x:v>
      </x:c>
      <x:c r="U74" s="24" t="b">
        <x:v>1</x:v>
      </x:c>
      <x:c r="V74" s="25" t="n">
        <x:f>N74+1.5*O74+3*P74+3*Q74</x:f>
        <x:v>94781724</x:v>
      </x:c>
      <x:c r="W74" s="25" t="n">
        <x:f>S74*3</x:f>
        <x:v>23253000</x:v>
      </x:c>
      <x:c r="X74" s="25" t="n">
        <x:f>IF(Z74="No",0,V74-W74)</x:f>
        <x:v>71528724</x:v>
      </x:c>
      <x:c r="Y74" s="26" t="n">
        <x:f>IF(Z74="No",0,IFERROR(V74/W74,0))</x:f>
        <x:v>4.076107340988259</x:v>
      </x:c>
      <x:c r="Z74" s="27" t="str">
        <x:f>IF(AND(U74=TRUE,V74=0),"No","Yes")</x:f>
        <x:v>Yes</x:v>
      </x:c>
      <x:c r="AA74" s="27" t="str">
        <x:f>IF(Z74="No","Not comparable",IF(X74&gt;0,"Yes","No"))</x:f>
        <x:v>Yes</x:v>
      </x:c>
    </x:row>
    <x:row r="75">
      <x:c r="A75" s="20" t="str">
        <x:v>s10-20261002-10</x:v>
      </x:c>
      <x:c r="B75" s="21" t="n">
        <x:v>46297</x:v>
      </x:c>
      <x:c r="C75" s="22" t="n">
        <x:v>10</x:v>
      </x:c>
      <x:c r="D75" s="20" t="str">
        <x:v>PTS scan card</x:v>
      </x:c>
      <x:c r="E75" s="20" t="str">
        <x:v>Small Alien Encounter</x:v>
      </x:c>
      <x:c r="F75" s="20" t="str">
        <x:v>PvP</x:v>
      </x:c>
      <x:c r="G75" s="23" t="n">
        <x:v>2</x:v>
      </x:c>
      <x:c r="H75" s="23" t="n">
        <x:v>681</x:v>
      </x:c>
      <x:c r="I75" s="23" t="str">
        <x:v>Combat</x:v>
      </x:c>
      <x:c r="J75" s="23" t="n">
        <x:v>3</x:v>
      </x:c>
      <x:c r="K75" s="23" t="n">
        <x:v>56</x:v>
      </x:c>
      <x:c r="L75" s="23" t="n">
        <x:v>2890</x:v>
      </x:c>
      <x:c r="M75" s="20" t="str">
        <x:v>possible</x:v>
      </x:c>
      <x:c r="N75" s="23" t="n">
        <x:v>0</x:v>
      </x:c>
      <x:c r="O75" s="23" t="n">
        <x:v>0</x:v>
      </x:c>
      <x:c r="P75" s="23" t="n">
        <x:v>34812976</x:v>
      </x:c>
      <x:c r="Q75" s="23" t="n">
        <x:v>0</x:v>
      </x:c>
      <x:c r="R75" s="24" t="b">
        <x:v>1</x:v>
      </x:c>
      <x:c r="S75" s="23" t="n">
        <x:v>7740000</x:v>
      </x:c>
      <x:c r="T75" s="24" t="b">
        <x:v>1</x:v>
      </x:c>
      <x:c r="U75" s="24" t="b">
        <x:v>1</x:v>
      </x:c>
      <x:c r="V75" s="25" t="n">
        <x:f>N75+1.5*O75+3*P75+3*Q75</x:f>
        <x:v>104438928</x:v>
      </x:c>
      <x:c r="W75" s="25" t="n">
        <x:f>S75*3</x:f>
        <x:v>23220000</x:v>
      </x:c>
      <x:c r="X75" s="25" t="n">
        <x:f>IF(Z75="No",0,V75-W75)</x:f>
        <x:v>81218928</x:v>
      </x:c>
      <x:c r="Y75" s="26" t="n">
        <x:f>IF(Z75="No",0,IFERROR(V75/W75,0))</x:f>
        <x:v>4.4978005167958655</x:v>
      </x:c>
      <x:c r="Z75" s="27" t="str">
        <x:f>IF(AND(U75=TRUE,V75=0),"No","Yes")</x:f>
        <x:v>Yes</x:v>
      </x:c>
      <x:c r="AA75" s="27" t="str">
        <x:f>IF(Z75="No","Not comparable",IF(X75&gt;0,"Yes","No"))</x:f>
        <x:v>Yes</x:v>
      </x:c>
    </x:row>
    <x:row r="76">
      <x:c r="A76" s="20" t="str">
        <x:v>s10-20261002-11</x:v>
      </x:c>
      <x:c r="B76" s="21" t="n">
        <x:v>46297</x:v>
      </x:c>
      <x:c r="C76" s="22" t="n">
        <x:v>10</x:v>
      </x:c>
      <x:c r="D76" s="20" t="str">
        <x:v>PTS scan card</x:v>
      </x:c>
      <x:c r="E76" s="20" t="str">
        <x:v>Delivery: Metal</x:v>
      </x:c>
      <x:c r="F76" s="20" t="str">
        <x:v>PvP</x:v>
      </x:c>
      <x:c r="G76" s="23" t="n">
        <x:v>5</x:v>
      </x:c>
      <x:c r="H76" s="23" t="n">
        <x:v>538</x:v>
      </x:c>
      <x:c r="I76" s="23" t="str">
        <x:v>Delivery</x:v>
      </x:c>
      <x:c r="J76" s="23" t="n">
        <x:v>4</x:v>
      </x:c>
      <x:c r="K76" s="23" t="n">
        <x:v>86</x:v>
      </x:c>
      <x:c r="L76" s="23" t="n">
        <x:v>3650</x:v>
      </x:c>
      <x:c r="M76" s="20" t="str">
        <x:v>possible</x:v>
      </x:c>
      <x:c r="N76" s="23" t="n">
        <x:v>345463360</x:v>
      </x:c>
      <x:c r="O76" s="23" t="n">
        <x:v>0</x:v>
      </x:c>
      <x:c r="P76" s="23" t="n">
        <x:v>0</x:v>
      </x:c>
      <x:c r="Q76" s="23" t="n">
        <x:v>0</x:v>
      </x:c>
      <x:c r="R76" s="24" t="b">
        <x:v>1</x:v>
      </x:c>
      <x:c r="S76" s="23" t="n">
        <x:v>20382000</x:v>
      </x:c>
      <x:c r="T76" s="24" t="b">
        <x:v>1</x:v>
      </x:c>
      <x:c r="U76" s="24" t="b">
        <x:v>1</x:v>
      </x:c>
      <x:c r="V76" s="25" t="n">
        <x:f>N76+1.5*O76+3*P76+3*Q76</x:f>
        <x:v>345463360</x:v>
      </x:c>
      <x:c r="W76" s="25" t="n">
        <x:f>S76*3</x:f>
        <x:v>61146000</x:v>
      </x:c>
      <x:c r="X76" s="25" t="n">
        <x:f>IF(Z76="No",0,V76-W76)</x:f>
        <x:v>284317360</x:v>
      </x:c>
      <x:c r="Y76" s="26" t="n">
        <x:f>IF(Z76="No",0,IFERROR(V76/W76,0))</x:f>
        <x:v>5.649811271383246</x:v>
      </x:c>
      <x:c r="Z76" s="27" t="str">
        <x:f>IF(AND(U76=TRUE,V76=0),"No","Yes")</x:f>
        <x:v>Yes</x:v>
      </x:c>
      <x:c r="AA76" s="27" t="str">
        <x:f>IF(Z76="No","Not comparable",IF(X76&gt;0,"Yes","No"))</x:f>
        <x:v>Yes</x:v>
      </x:c>
    </x:row>
    <x:row r="77">
      <x:c r="A77" s="20" t="str">
        <x:v>s10-20261002-12</x:v>
      </x:c>
      <x:c r="B77" s="21" t="n">
        <x:v>46297</x:v>
      </x:c>
      <x:c r="C77" s="22" t="n">
        <x:v>10</x:v>
      </x:c>
      <x:c r="D77" s="20" t="str">
        <x:v>PTS scan card</x:v>
      </x:c>
      <x:c r="E77" s="20" t="str">
        <x:v>Medium Alien Encounter</x:v>
      </x:c>
      <x:c r="F77" s="20" t="str">
        <x:v>PvP</x:v>
      </x:c>
      <x:c r="G77" s="23" t="n">
        <x:v>1</x:v>
      </x:c>
      <x:c r="H77" s="23" t="n">
        <x:v>663</x:v>
      </x:c>
      <x:c r="I77" s="23" t="str">
        <x:v>Combat</x:v>
      </x:c>
      <x:c r="J77" s="23" t="n">
        <x:v>2</x:v>
      </x:c>
      <x:c r="K77" s="23" t="n">
        <x:v>38</x:v>
      </x:c>
      <x:c r="L77" s="23" t="n">
        <x:v>3365</x:v>
      </x:c>
      <x:c r="M77" s="20" t="str">
        <x:v>possible</x:v>
      </x:c>
      <x:c r="N77" s="23" t="n">
        <x:v>20498057</x:v>
      </x:c>
      <x:c r="O77" s="23" t="n">
        <x:v>13828378</x:v>
      </x:c>
      <x:c r="P77" s="23" t="n">
        <x:v>0</x:v>
      </x:c>
      <x:c r="Q77" s="23" t="n">
        <x:v>0</x:v>
      </x:c>
      <x:c r="R77" s="24" t="b">
        <x:v>1</x:v>
      </x:c>
      <x:c r="S77" s="23" t="n">
        <x:v>2511000</x:v>
      </x:c>
      <x:c r="T77" s="24" t="b">
        <x:v>1</x:v>
      </x:c>
      <x:c r="U77" s="24" t="b">
        <x:v>1</x:v>
      </x:c>
      <x:c r="V77" s="25" t="n">
        <x:f>N77+1.5*O77+3*P77+3*Q77</x:f>
        <x:v>41240624</x:v>
      </x:c>
      <x:c r="W77" s="25" t="n">
        <x:f>S77*3</x:f>
        <x:v>7533000</x:v>
      </x:c>
      <x:c r="X77" s="25" t="n">
        <x:f>IF(Z77="No",0,V77-W77)</x:f>
        <x:v>33707624</x:v>
      </x:c>
      <x:c r="Y77" s="26" t="n">
        <x:f>IF(Z77="No",0,IFERROR(V77/W77,0))</x:f>
        <x:v>5.474661356697199</x:v>
      </x:c>
      <x:c r="Z77" s="27" t="str">
        <x:f>IF(AND(U77=TRUE,V77=0),"No","Yes")</x:f>
        <x:v>Yes</x:v>
      </x:c>
      <x:c r="AA77" s="27" t="str">
        <x:f>IF(Z77="No","Not comparable",IF(X77&gt;0,"Yes","No"))</x:f>
        <x:v>Yes</x:v>
      </x:c>
    </x:row>
    <x:row r="78">
      <x:c r="A78" s="20" t="str">
        <x:v>s50-20261002-01</x:v>
      </x:c>
      <x:c r="B78" s="21" t="n">
        <x:v>46297</x:v>
      </x:c>
      <x:c r="C78" s="22" t="n">
        <x:v>50</x:v>
      </x:c>
      <x:c r="D78" s="20" t="str">
        <x:v>PTS scan card</x:v>
      </x:c>
      <x:c r="E78" s="20" t="str">
        <x:v>Delivery: Metal</x:v>
      </x:c>
      <x:c r="F78" s="20" t="str">
        <x:v>PvE</x:v>
      </x:c>
      <x:c r="G78" s="23" t="n">
        <x:v>4</x:v>
      </x:c>
      <x:c r="H78" s="23" t="n">
        <x:v>556</x:v>
      </x:c>
      <x:c r="I78" s="23" t="str">
        <x:v>Delivery</x:v>
      </x:c>
      <x:c r="J78" s="23" t="n">
        <x:v>6</x:v>
      </x:c>
      <x:c r="K78" s="23" t="n">
        <x:v>152</x:v>
      </x:c>
      <x:c r="L78" s="23" t="n">
        <x:v>6215</x:v>
      </x:c>
      <x:c r="M78" s="20" t="str">
        <x:v>possible</x:v>
      </x:c>
      <x:c r="N78" s="23" t="n">
        <x:v>166610082</x:v>
      </x:c>
      <x:c r="O78" s="23" t="n">
        <x:v>0</x:v>
      </x:c>
      <x:c r="P78" s="23" t="n">
        <x:v>0</x:v>
      </x:c>
      <x:c r="Q78" s="23" t="n">
        <x:v>0</x:v>
      </x:c>
      <x:c r="R78" s="24" t="b">
        <x:v>1</x:v>
      </x:c>
      <x:c r="S78" s="23" t="n">
        <x:v>25277000</x:v>
      </x:c>
      <x:c r="T78" s="24" t="b">
        <x:v>1</x:v>
      </x:c>
      <x:c r="U78" s="24" t="b">
        <x:v>1</x:v>
      </x:c>
      <x:c r="V78" s="25" t="n">
        <x:f>N78+1.5*O78+3*P78+3*Q78</x:f>
        <x:v>166610082</x:v>
      </x:c>
      <x:c r="W78" s="25" t="n">
        <x:f>S78*3</x:f>
        <x:v>75831000</x:v>
      </x:c>
      <x:c r="X78" s="25" t="n">
        <x:f>IF(Z78="No",0,V78-W78)</x:f>
        <x:v>90779082</x:v>
      </x:c>
      <x:c r="Y78" s="26" t="n">
        <x:f>IF(Z78="No",0,IFERROR(V78/W78,0))</x:f>
        <x:v>2.197123630177632</x:v>
      </x:c>
      <x:c r="Z78" s="27" t="str">
        <x:f>IF(AND(U78=TRUE,V78=0),"No","Yes")</x:f>
        <x:v>Yes</x:v>
      </x:c>
      <x:c r="AA78" s="27" t="str">
        <x:f>IF(Z78="No","Not comparable",IF(X78&gt;0,"Yes","No"))</x:f>
        <x:v>Yes</x:v>
      </x:c>
    </x:row>
    <x:row r="79">
      <x:c r="A79" s="20" t="str">
        <x:v>s50-20261002-02</x:v>
      </x:c>
      <x:c r="B79" s="21" t="n">
        <x:v>46297</x:v>
      </x:c>
      <x:c r="C79" s="22" t="n">
        <x:v>50</x:v>
      </x:c>
      <x:c r="D79" s="20" t="str">
        <x:v>PTS scan card</x:v>
      </x:c>
      <x:c r="E79" s="20" t="str">
        <x:v>Mysterious Nebula</x:v>
      </x:c>
      <x:c r="F79" s="20" t="str">
        <x:v>PvE</x:v>
      </x:c>
      <x:c r="G79" s="23" t="n">
        <x:v>4</x:v>
      </x:c>
      <x:c r="H79" s="23" t="n">
        <x:v>597</x:v>
      </x:c>
      <x:c r="I79" s="23" t="str">
        <x:v>Delivery</x:v>
      </x:c>
      <x:c r="J79" s="23" t="n">
        <x:v>5</x:v>
      </x:c>
      <x:c r="K79" s="23" t="n">
        <x:v>143</x:v>
      </x:c>
      <x:c r="L79" s="23" t="n">
        <x:v>3175</x:v>
      </x:c>
      <x:c r="M79" s="20" t="str">
        <x:v>possible</x:v>
      </x:c>
      <x:c r="N79" s="23" t="n">
        <x:v>14641794</x:v>
      </x:c>
      <x:c r="O79" s="23" t="n">
        <x:v>6519237</x:v>
      </x:c>
      <x:c r="P79" s="23" t="n">
        <x:v>2187245</x:v>
      </x:c>
      <x:c r="Q79" s="23" t="n">
        <x:v>13014928</x:v>
      </x:c>
      <x:c r="R79" s="24" t="b">
        <x:v>1</x:v>
      </x:c>
      <x:c r="S79" s="23" t="n">
        <x:v>22617000</x:v>
      </x:c>
      <x:c r="T79" s="24" t="b">
        <x:v>1</x:v>
      </x:c>
      <x:c r="U79" s="24" t="b">
        <x:v>1</x:v>
      </x:c>
      <x:c r="V79" s="25" t="n">
        <x:f>N79+1.5*O79+3*P79+3*Q79</x:f>
        <x:v>70027168.5</x:v>
      </x:c>
      <x:c r="W79" s="25" t="n">
        <x:f>S79*3</x:f>
        <x:v>67851000</x:v>
      </x:c>
      <x:c r="X79" s="25" t="n">
        <x:f>IF(Z79="No",0,V79-W79)</x:f>
        <x:v>2176168.5</x:v>
      </x:c>
      <x:c r="Y79" s="26" t="n">
        <x:f>IF(Z79="No",0,IFERROR(V79/W79,0))</x:f>
        <x:v>1.0320727550072955</x:v>
      </x:c>
      <x:c r="Z79" s="27" t="str">
        <x:f>IF(AND(U79=TRUE,V79=0),"No","Yes")</x:f>
        <x:v>Yes</x:v>
      </x:c>
      <x:c r="AA79" s="27" t="str">
        <x:f>IF(Z79="No","Not comparable",IF(X79&gt;0,"Yes","No"))</x:f>
        <x:v>Yes</x:v>
      </x:c>
    </x:row>
    <x:row r="80">
      <x:c r="A80" s="20" t="str">
        <x:v>s50-20261002-03</x:v>
      </x:c>
      <x:c r="B80" s="21" t="n">
        <x:v>46297</x:v>
      </x:c>
      <x:c r="C80" s="22" t="n">
        <x:v>50</x:v>
      </x:c>
      <x:c r="D80" s="20" t="str">
        <x:v>PTS scan card</x:v>
      </x:c>
      <x:c r="E80" s="20" t="str">
        <x:v>Rescue</x:v>
      </x:c>
      <x:c r="F80" s="20" t="str">
        <x:v>PvE</x:v>
      </x:c>
      <x:c r="G80" s="23" t="n">
        <x:v>2</x:v>
      </x:c>
      <x:c r="H80" s="23" t="n">
        <x:v>577</x:v>
      </x:c>
      <x:c r="I80" s="23" t="str">
        <x:v>Combat</x:v>
      </x:c>
      <x:c r="J80" s="23" t="n">
        <x:v>1</x:v>
      </x:c>
      <x:c r="K80" s="23" t="n">
        <x:v>22</x:v>
      </x:c>
      <x:c r="L80" s="23" t="n">
        <x:v>3840</x:v>
      </x:c>
      <x:c r="M80" s="20" t="str">
        <x:v>possible</x:v>
      </x:c>
      <x:c r="N80" s="23" t="n">
        <x:v>0</x:v>
      </x:c>
      <x:c r="O80" s="23" t="n">
        <x:v>0</x:v>
      </x:c>
      <x:c r="P80" s="23" t="n">
        <x:v>0</x:v>
      </x:c>
      <x:c r="Q80" s="23" t="n">
        <x:v>0</x:v>
      </x:c>
      <x:c r="R80" s="24" t="b">
        <x:v>1</x:v>
      </x:c>
      <x:c r="S80" s="23" t="n">
        <x:v>2185000</x:v>
      </x:c>
      <x:c r="T80" s="24" t="b">
        <x:v>1</x:v>
      </x:c>
      <x:c r="U80" s="24" t="b">
        <x:v>1</x:v>
      </x:c>
      <x:c r="V80" s="25" t="n">
        <x:f>N80+1.5*O80+3*P80+3*Q80</x:f>
        <x:v>0</x:v>
      </x:c>
      <x:c r="W80" s="25" t="n">
        <x:f>S80*3</x:f>
        <x:v>6555000</x:v>
      </x:c>
      <x:c r="X80" s="25" t="n">
        <x:f>IF(Z80="No",0,V80-W80)</x:f>
        <x:v>0</x:v>
      </x:c>
      <x:c r="Y80" s="26" t="n">
        <x:f>IF(Z80="No",0,IFERROR(V80/W80,0))</x:f>
        <x:v>0</x:v>
      </x:c>
      <x:c r="Z80" s="27" t="str">
        <x:f>IF(AND(U80=TRUE,V80=0),"No","Yes")</x:f>
        <x:v>No</x:v>
      </x:c>
      <x:c r="AA80" s="27" t="str">
        <x:f>IF(Z80="No","Not comparable",IF(X80&gt;0,"Yes","No"))</x:f>
        <x:v>Not comparable</x:v>
      </x:c>
    </x:row>
    <x:row r="81">
      <x:c r="A81" s="20" t="str">
        <x:v>s50-20261002-04</x:v>
      </x:c>
      <x:c r="B81" s="21" t="n">
        <x:v>46297</x:v>
      </x:c>
      <x:c r="C81" s="22" t="n">
        <x:v>50</x:v>
      </x:c>
      <x:c r="D81" s="20" t="str">
        <x:v>PTS scan card</x:v>
      </x:c>
      <x:c r="E81" s="20" t="str">
        <x:v>Delivery: Deuterium</x:v>
      </x:c>
      <x:c r="F81" s="20" t="str">
        <x:v>PvP</x:v>
      </x:c>
      <x:c r="G81" s="23" t="n">
        <x:v>2</x:v>
      </x:c>
      <x:c r="H81" s="23" t="n">
        <x:v>566</x:v>
      </x:c>
      <x:c r="I81" s="23" t="str">
        <x:v>Delivery</x:v>
      </x:c>
      <x:c r="J81" s="23" t="n">
        <x:v>5</x:v>
      </x:c>
      <x:c r="K81" s="23" t="n">
        <x:v>145</x:v>
      </x:c>
      <x:c r="L81" s="23" t="n">
        <x:v>4505</x:v>
      </x:c>
      <x:c r="M81" s="20" t="str">
        <x:v>possible</x:v>
      </x:c>
      <x:c r="N81" s="23" t="n">
        <x:v>0</x:v>
      </x:c>
      <x:c r="O81" s="23" t="n">
        <x:v>0</x:v>
      </x:c>
      <x:c r="P81" s="23" t="n">
        <x:v>81320370</x:v>
      </x:c>
      <x:c r="Q81" s="23" t="n">
        <x:v>0</x:v>
      </x:c>
      <x:c r="R81" s="24" t="b">
        <x:v>1</x:v>
      </x:c>
      <x:c r="S81" s="23" t="n">
        <x:v>10721000</x:v>
      </x:c>
      <x:c r="T81" s="24" t="b">
        <x:v>1</x:v>
      </x:c>
      <x:c r="U81" s="24" t="b">
        <x:v>1</x:v>
      </x:c>
      <x:c r="V81" s="25" t="n">
        <x:f>N81+1.5*O81+3*P81+3*Q81</x:f>
        <x:v>243961110</x:v>
      </x:c>
      <x:c r="W81" s="25" t="n">
        <x:f>S81*3</x:f>
        <x:v>32163000</x:v>
      </x:c>
      <x:c r="X81" s="25" t="n">
        <x:f>IF(Z81="No",0,V81-W81)</x:f>
        <x:v>211798110</x:v>
      </x:c>
      <x:c r="Y81" s="26" t="n">
        <x:f>IF(Z81="No",0,IFERROR(V81/W81,0))</x:f>
        <x:v>7.585147840686503</x:v>
      </x:c>
      <x:c r="Z81" s="27" t="str">
        <x:f>IF(AND(U81=TRUE,V81=0),"No","Yes")</x:f>
        <x:v>Yes</x:v>
      </x:c>
      <x:c r="AA81" s="27" t="str">
        <x:f>IF(Z81="No","Not comparable",IF(X81&gt;0,"Yes","No"))</x:f>
        <x:v>Yes</x:v>
      </x:c>
    </x:row>
    <x:row r="82">
      <x:c r="A82" s="20" t="str">
        <x:v>s50-20261002-05</x:v>
      </x:c>
      <x:c r="B82" s="21" t="n">
        <x:v>46297</x:v>
      </x:c>
      <x:c r="C82" s="22" t="n">
        <x:v>50</x:v>
      </x:c>
      <x:c r="D82" s="20" t="str">
        <x:v>PTS scan card</x:v>
      </x:c>
      <x:c r="E82" s="20" t="str">
        <x:v>Pirate Hideout</x:v>
      </x:c>
      <x:c r="F82" s="20" t="str">
        <x:v>PvE</x:v>
      </x:c>
      <x:c r="G82" s="23" t="n">
        <x:v>3</x:v>
      </x:c>
      <x:c r="H82" s="23" t="n">
        <x:v>664</x:v>
      </x:c>
      <x:c r="I82" s="23" t="str">
        <x:v>Combat</x:v>
      </x:c>
      <x:c r="J82" s="23" t="n">
        <x:v>1</x:v>
      </x:c>
      <x:c r="K82" s="23" t="n">
        <x:v>17</x:v>
      </x:c>
      <x:c r="L82" s="23" t="n">
        <x:v>4695</x:v>
      </x:c>
      <x:c r="M82" s="20" t="str">
        <x:v>possible</x:v>
      </x:c>
      <x:c r="N82" s="23" t="n">
        <x:v>17423820</x:v>
      </x:c>
      <x:c r="O82" s="23" t="n">
        <x:v>7757930</x:v>
      </x:c>
      <x:c r="P82" s="23" t="n">
        <x:v>2602834</x:v>
      </x:c>
      <x:c r="Q82" s="23" t="n">
        <x:v>0</x:v>
      </x:c>
      <x:c r="R82" s="24" t="b">
        <x:v>1</x:v>
      </x:c>
      <x:c r="S82" s="23" t="n">
        <x:v>3773000</x:v>
      </x:c>
      <x:c r="T82" s="24" t="b">
        <x:v>1</x:v>
      </x:c>
      <x:c r="U82" s="24" t="b">
        <x:v>1</x:v>
      </x:c>
      <x:c r="V82" s="25" t="n">
        <x:f>N82+1.5*O82+3*P82+3*Q82</x:f>
        <x:v>36869217</x:v>
      </x:c>
      <x:c r="W82" s="25" t="n">
        <x:f>S82*3</x:f>
        <x:v>11319000</x:v>
      </x:c>
      <x:c r="X82" s="25" t="n">
        <x:f>IF(Z82="No",0,V82-W82)</x:f>
        <x:v>25550217</x:v>
      </x:c>
      <x:c r="Y82" s="26" t="n">
        <x:f>IF(Z82="No",0,IFERROR(V82/W82,0))</x:f>
        <x:v>3.257285714285714</x:v>
      </x:c>
      <x:c r="Z82" s="27" t="str">
        <x:f>IF(AND(U82=TRUE,V82=0),"No","Yes")</x:f>
        <x:v>Yes</x:v>
      </x:c>
      <x:c r="AA82" s="27" t="str">
        <x:f>IF(Z82="No","Not comparable",IF(X82&gt;0,"Yes","No"))</x:f>
        <x:v>Yes</x:v>
      </x:c>
    </x:row>
    <x:row r="83">
      <x:c r="A83" s="20" t="str">
        <x:v>s50-20261002-06</x:v>
      </x:c>
      <x:c r="B83" s="21" t="n">
        <x:v>46297</x:v>
      </x:c>
      <x:c r="C83" s="22" t="n">
        <x:v>50</x:v>
      </x:c>
      <x:c r="D83" s="20" t="str">
        <x:v>PTS scan card</x:v>
      </x:c>
      <x:c r="E83" s="20" t="str">
        <x:v>Mysterious Nebula</x:v>
      </x:c>
      <x:c r="F83" s="20" t="str">
        <x:v>PvE</x:v>
      </x:c>
      <x:c r="G83" s="23" t="n">
        <x:v>4</x:v>
      </x:c>
      <x:c r="H83" s="23" t="n">
        <x:v>683</x:v>
      </x:c>
      <x:c r="I83" s="23" t="str">
        <x:v>Delivery</x:v>
      </x:c>
      <x:c r="J83" s="23" t="n">
        <x:v>3</x:v>
      </x:c>
      <x:c r="K83" s="23" t="n">
        <x:v>81</x:v>
      </x:c>
      <x:c r="L83" s="23" t="n">
        <x:v>6120</x:v>
      </x:c>
      <x:c r="M83" s="20" t="str">
        <x:v>possible</x:v>
      </x:c>
      <x:c r="N83" s="23" t="n">
        <x:v>0</x:v>
      </x:c>
      <x:c r="O83" s="23" t="n">
        <x:v>0</x:v>
      </x:c>
      <x:c r="P83" s="23" t="n">
        <x:v>0</x:v>
      </x:c>
      <x:c r="Q83" s="23" t="n">
        <x:v>5380623</x:v>
      </x:c>
      <x:c r="R83" s="24" t="b">
        <x:v>1</x:v>
      </x:c>
      <x:c r="S83" s="23" t="n">
        <x:v>11644000</x:v>
      </x:c>
      <x:c r="T83" s="24" t="b">
        <x:v>1</x:v>
      </x:c>
      <x:c r="U83" s="24" t="b">
        <x:v>1</x:v>
      </x:c>
      <x:c r="V83" s="25" t="n">
        <x:f>N83+1.5*O83+3*P83+3*Q83</x:f>
        <x:v>16141869</x:v>
      </x:c>
      <x:c r="W83" s="25" t="n">
        <x:f>S83*3</x:f>
        <x:v>34932000</x:v>
      </x:c>
      <x:c r="X83" s="25" t="n">
        <x:f>IF(Z83="No",0,V83-W83)</x:f>
        <x:v>-18790131</x:v>
      </x:c>
      <x:c r="Y83" s="26" t="n">
        <x:f>IF(Z83="No",0,IFERROR(V83/W83,0))</x:f>
        <x:v>0.46209403984884917</x:v>
      </x:c>
      <x:c r="Z83" s="27" t="str">
        <x:f>IF(AND(U83=TRUE,V83=0),"No","Yes")</x:f>
        <x:v>Yes</x:v>
      </x:c>
      <x:c r="AA83" s="27" t="str">
        <x:f>IF(Z83="No","Not comparable",IF(X83&gt;0,"Yes","No"))</x:f>
        <x:v>No</x:v>
      </x:c>
    </x:row>
    <x:row r="84">
      <x:c r="A84" s="20" t="str">
        <x:v>s50-20261002-07</x:v>
      </x:c>
      <x:c r="B84" s="21" t="n">
        <x:v>46297</x:v>
      </x:c>
      <x:c r="C84" s="22" t="n">
        <x:v>50</x:v>
      </x:c>
      <x:c r="D84" s="20" t="str">
        <x:v>PTS scan card</x:v>
      </x:c>
      <x:c r="E84" s="20" t="str">
        <x:v>Chaos Mission</x:v>
      </x:c>
      <x:c r="F84" s="20" t="str">
        <x:v>PvE</x:v>
      </x:c>
      <x:c r="G84" s="23" t="n">
        <x:v>1</x:v>
      </x:c>
      <x:c r="H84" s="23" t="n">
        <x:v>598</x:v>
      </x:c>
      <x:c r="I84" s="23" t="str">
        <x:v>Combat</x:v>
      </x:c>
      <x:c r="J84" s="23" t="n">
        <x:v>9</x:v>
      </x:c>
      <x:c r="K84" s="23" t="n">
        <x:v>182</x:v>
      </x:c>
      <x:c r="L84" s="23" t="n">
        <x:v>3840</x:v>
      </x:c>
      <x:c r="M84" s="20" t="str">
        <x:v>possible</x:v>
      </x:c>
      <x:c r="N84" s="23" t="n">
        <x:v>45383520</x:v>
      </x:c>
      <x:c r="O84" s="23" t="n">
        <x:v>20206944</x:v>
      </x:c>
      <x:c r="P84" s="23" t="n">
        <x:v>6779556</x:v>
      </x:c>
      <x:c r="Q84" s="23" t="n">
        <x:v>0</x:v>
      </x:c>
      <x:c r="R84" s="24" t="b">
        <x:v>1</x:v>
      </x:c>
      <x:c r="S84" s="23" t="n">
        <x:v>10194000</x:v>
      </x:c>
      <x:c r="T84" s="24" t="b">
        <x:v>1</x:v>
      </x:c>
      <x:c r="U84" s="24" t="b">
        <x:v>1</x:v>
      </x:c>
      <x:c r="V84" s="25" t="n">
        <x:f>N84+1.5*O84+3*P84+3*Q84</x:f>
        <x:v>96032604</x:v>
      </x:c>
      <x:c r="W84" s="25" t="n">
        <x:f>S84*3</x:f>
        <x:v>30582000</x:v>
      </x:c>
      <x:c r="X84" s="25" t="n">
        <x:f>IF(Z84="No",0,V84-W84)</x:f>
        <x:v>65450604</x:v>
      </x:c>
      <x:c r="Y84" s="26" t="n">
        <x:f>IF(Z84="No",0,IFERROR(V84/W84,0))</x:f>
        <x:v>3.1401675495389445</x:v>
      </x:c>
      <x:c r="Z84" s="27" t="str">
        <x:f>IF(AND(U84=TRUE,V84=0),"No","Yes")</x:f>
        <x:v>Yes</x:v>
      </x:c>
      <x:c r="AA84" s="27" t="str">
        <x:f>IF(Z84="No","Not comparable",IF(X84&gt;0,"Yes","No"))</x:f>
        <x:v>Yes</x:v>
      </x:c>
    </x:row>
    <x:row r="85">
      <x:c r="A85" s="20" t="str">
        <x:v>s50-20261002-08</x:v>
      </x:c>
      <x:c r="B85" s="21" t="n">
        <x:v>46297</x:v>
      </x:c>
      <x:c r="C85" s="22" t="n">
        <x:v>50</x:v>
      </x:c>
      <x:c r="D85" s="20" t="str">
        <x:v>PTS scan card</x:v>
      </x:c>
      <x:c r="E85" s="20" t="str">
        <x:v>Medium Alien Encounter</x:v>
      </x:c>
      <x:c r="F85" s="20" t="str">
        <x:v>PvP</x:v>
      </x:c>
      <x:c r="G85" s="23" t="n">
        <x:v>4</x:v>
      </x:c>
      <x:c r="H85" s="23" t="n">
        <x:v>600</x:v>
      </x:c>
      <x:c r="I85" s="23" t="str">
        <x:v>Combat</x:v>
      </x:c>
      <x:c r="J85" s="23" t="n">
        <x:v>3</x:v>
      </x:c>
      <x:c r="K85" s="23" t="n">
        <x:v>66</x:v>
      </x:c>
      <x:c r="L85" s="23" t="n">
        <x:v>2985</x:v>
      </x:c>
      <x:c r="M85" s="20" t="str">
        <x:v>possible</x:v>
      </x:c>
      <x:c r="N85" s="23" t="n">
        <x:v>75628082</x:v>
      </x:c>
      <x:c r="O85" s="23" t="n">
        <x:v>84693428</x:v>
      </x:c>
      <x:c r="P85" s="23" t="n">
        <x:v>11297602</x:v>
      </x:c>
      <x:c r="Q85" s="23" t="n">
        <x:v>0</x:v>
      </x:c>
      <x:c r="R85" s="24" t="b">
        <x:v>1</x:v>
      </x:c>
      <x:c r="S85" s="23" t="n">
        <x:v>13638000</x:v>
      </x:c>
      <x:c r="T85" s="24" t="b">
        <x:v>1</x:v>
      </x:c>
      <x:c r="U85" s="24" t="b">
        <x:v>1</x:v>
      </x:c>
      <x:c r="V85" s="25" t="n">
        <x:f>N85+1.5*O85+3*P85+3*Q85</x:f>
        <x:v>236561030</x:v>
      </x:c>
      <x:c r="W85" s="25" t="n">
        <x:f>S85*3</x:f>
        <x:v>40914000</x:v>
      </x:c>
      <x:c r="X85" s="25" t="n">
        <x:f>IF(Z85="No",0,V85-W85)</x:f>
        <x:v>195647030</x:v>
      </x:c>
      <x:c r="Y85" s="26" t="n">
        <x:f>IF(Z85="No",0,IFERROR(V85/W85,0))</x:f>
        <x:v>5.781909126460381</x:v>
      </x:c>
      <x:c r="Z85" s="27" t="str">
        <x:f>IF(AND(U85=TRUE,V85=0),"No","Yes")</x:f>
        <x:v>Yes</x:v>
      </x:c>
      <x:c r="AA85" s="27" t="str">
        <x:f>IF(Z85="No","Not comparable",IF(X85&gt;0,"Yes","No"))</x:f>
        <x:v>Yes</x:v>
      </x:c>
    </x:row>
    <x:row r="86">
      <x:c r="A86" s="20" t="str">
        <x:v>s50-20261002-09</x:v>
      </x:c>
      <x:c r="B86" s="21" t="n">
        <x:v>46297</x:v>
      </x:c>
      <x:c r="C86" s="22" t="n">
        <x:v>50</x:v>
      </x:c>
      <x:c r="D86" s="20" t="str">
        <x:v>PTS scan card</x:v>
      </x:c>
      <x:c r="E86" s="20" t="str">
        <x:v>Delivery: Metal</x:v>
      </x:c>
      <x:c r="F86" s="20" t="str">
        <x:v>PvE</x:v>
      </x:c>
      <x:c r="G86" s="23" t="n">
        <x:v>2</x:v>
      </x:c>
      <x:c r="H86" s="23" t="n">
        <x:v>664</x:v>
      </x:c>
      <x:c r="I86" s="23" t="str">
        <x:v>Delivery</x:v>
      </x:c>
      <x:c r="J86" s="23" t="n">
        <x:v>4</x:v>
      </x:c>
      <x:c r="K86" s="23" t="n">
        <x:v>104</x:v>
      </x:c>
      <x:c r="L86" s="23" t="n">
        <x:v>6215</x:v>
      </x:c>
      <x:c r="M86" s="20" t="str">
        <x:v>possible</x:v>
      </x:c>
      <x:c r="N86" s="23" t="n">
        <x:v>63955660</x:v>
      </x:c>
      <x:c r="O86" s="23" t="n">
        <x:v>0</x:v>
      </x:c>
      <x:c r="P86" s="23" t="n">
        <x:v>0</x:v>
      </x:c>
      <x:c r="Q86" s="23" t="n">
        <x:v>0</x:v>
      </x:c>
      <x:c r="R86" s="24" t="b">
        <x:v>1</x:v>
      </x:c>
      <x:c r="S86" s="23" t="n">
        <x:v>10062000</x:v>
      </x:c>
      <x:c r="T86" s="24" t="b">
        <x:v>1</x:v>
      </x:c>
      <x:c r="U86" s="24" t="b">
        <x:v>1</x:v>
      </x:c>
      <x:c r="V86" s="25" t="n">
        <x:f>N86+1.5*O86+3*P86+3*Q86</x:f>
        <x:v>63955660</x:v>
      </x:c>
      <x:c r="W86" s="25" t="n">
        <x:f>S86*3</x:f>
        <x:v>30186000</x:v>
      </x:c>
      <x:c r="X86" s="25" t="n">
        <x:f>IF(Z86="No",0,V86-W86)</x:f>
        <x:v>33769660</x:v>
      </x:c>
      <x:c r="Y86" s="26" t="n">
        <x:f>IF(Z86="No",0,IFERROR(V86/W86,0))</x:f>
        <x:v>2.118719273835553</x:v>
      </x:c>
      <x:c r="Z86" s="27" t="str">
        <x:f>IF(AND(U86=TRUE,V86=0),"No","Yes")</x:f>
        <x:v>Yes</x:v>
      </x:c>
      <x:c r="AA86" s="27" t="str">
        <x:f>IF(Z86="No","Not comparable",IF(X86&gt;0,"Yes","No"))</x:f>
        <x:v>Yes</x:v>
      </x:c>
    </x:row>
    <x:row r="87">
      <x:c r="A87" s="20" t="str">
        <x:v>s50-20261002-10</x:v>
      </x:c>
      <x:c r="B87" s="21" t="n">
        <x:v>46297</x:v>
      </x:c>
      <x:c r="C87" s="22" t="n">
        <x:v>50</x:v>
      </x:c>
      <x:c r="D87" s="20" t="str">
        <x:v>PTS scan card</x:v>
      </x:c>
      <x:c r="E87" s="20" t="str">
        <x:v>Delivery: Crystal</x:v>
      </x:c>
      <x:c r="F87" s="20" t="str">
        <x:v>PvE</x:v>
      </x:c>
      <x:c r="G87" s="23" t="n">
        <x:v>3</x:v>
      </x:c>
      <x:c r="H87" s="23" t="n">
        <x:v>620</x:v>
      </x:c>
      <x:c r="I87" s="23" t="str">
        <x:v>Delivery</x:v>
      </x:c>
      <x:c r="J87" s="23" t="n">
        <x:v>5</x:v>
      </x:c>
      <x:c r="K87" s="23" t="n">
        <x:v>130</x:v>
      </x:c>
      <x:c r="L87" s="23" t="n">
        <x:v>6215</x:v>
      </x:c>
      <x:c r="M87" s="20" t="str">
        <x:v>possible</x:v>
      </x:c>
      <x:c r="N87" s="23" t="n">
        <x:v>0</x:v>
      </x:c>
      <x:c r="O87" s="23" t="n">
        <x:v>76936330</x:v>
      </x:c>
      <x:c r="P87" s="23" t="n">
        <x:v>0</x:v>
      </x:c>
      <x:c r="Q87" s="23" t="n">
        <x:v>0</x:v>
      </x:c>
      <x:c r="R87" s="24" t="b">
        <x:v>1</x:v>
      </x:c>
      <x:c r="S87" s="23" t="n">
        <x:v>17616000</x:v>
      </x:c>
      <x:c r="T87" s="24" t="b">
        <x:v>1</x:v>
      </x:c>
      <x:c r="U87" s="24" t="b">
        <x:v>1</x:v>
      </x:c>
      <x:c r="V87" s="25" t="n">
        <x:f>N87+1.5*O87+3*P87+3*Q87</x:f>
        <x:v>115404495</x:v>
      </x:c>
      <x:c r="W87" s="25" t="n">
        <x:f>S87*3</x:f>
        <x:v>52848000</x:v>
      </x:c>
      <x:c r="X87" s="25" t="n">
        <x:f>IF(Z87="No",0,V87-W87)</x:f>
        <x:v>62556495</x:v>
      </x:c>
      <x:c r="Y87" s="26" t="n">
        <x:f>IF(Z87="No",0,IFERROR(V87/W87,0))</x:f>
        <x:v>2.183706005903724</x:v>
      </x:c>
      <x:c r="Z87" s="27" t="str">
        <x:f>IF(AND(U87=TRUE,V87=0),"No","Yes")</x:f>
        <x:v>Yes</x:v>
      </x:c>
      <x:c r="AA87" s="27" t="str">
        <x:f>IF(Z87="No","Not comparable",IF(X87&gt;0,"Yes","No"))</x:f>
        <x:v>Yes</x:v>
      </x:c>
    </x:row>
    <x:row r="88">
      <x:c r="A88" s="20" t="str">
        <x:v>s50-20261002-11</x:v>
      </x:c>
      <x:c r="B88" s="21" t="n">
        <x:v>46297</x:v>
      </x:c>
      <x:c r="C88" s="22" t="n">
        <x:v>50</x:v>
      </x:c>
      <x:c r="D88" s="20" t="str">
        <x:v>PTS scan card</x:v>
      </x:c>
      <x:c r="E88" s="20" t="str">
        <x:v>Chaos Mission</x:v>
      </x:c>
      <x:c r="F88" s="20" t="str">
        <x:v>PvP</x:v>
      </x:c>
      <x:c r="G88" s="23" t="n">
        <x:v>4</x:v>
      </x:c>
      <x:c r="H88" s="23" t="n">
        <x:v>704</x:v>
      </x:c>
      <x:c r="I88" s="23" t="str">
        <x:v>Combat</x:v>
      </x:c>
      <x:c r="J88" s="23" t="n">
        <x:v>4</x:v>
      </x:c>
      <x:c r="K88" s="23" t="n">
        <x:v>81</x:v>
      </x:c>
      <x:c r="L88" s="23" t="n">
        <x:v>2985</x:v>
      </x:c>
      <x:c r="M88" s="20" t="str">
        <x:v>possible</x:v>
      </x:c>
      <x:c r="N88" s="23" t="n">
        <x:v>260801628</x:v>
      </x:c>
      <x:c r="O88" s="23" t="n">
        <x:v>116121537</x:v>
      </x:c>
      <x:c r="P88" s="23" t="n">
        <x:v>38959509</x:v>
      </x:c>
      <x:c r="Q88" s="23" t="n">
        <x:v>0</x:v>
      </x:c>
      <x:c r="R88" s="24" t="b">
        <x:v>1</x:v>
      </x:c>
      <x:c r="S88" s="23" t="n">
        <x:v>21337000</x:v>
      </x:c>
      <x:c r="T88" s="24" t="b">
        <x:v>1</x:v>
      </x:c>
      <x:c r="U88" s="24" t="b">
        <x:v>1</x:v>
      </x:c>
      <x:c r="V88" s="25" t="n">
        <x:f>N88+1.5*O88+3*P88+3*Q88</x:f>
        <x:v>551862460.5</x:v>
      </x:c>
      <x:c r="W88" s="25" t="n">
        <x:f>S88*3</x:f>
        <x:v>64011000</x:v>
      </x:c>
      <x:c r="X88" s="25" t="n">
        <x:f>IF(Z88="No",0,V88-W88)</x:f>
        <x:v>487851460.5</x:v>
      </x:c>
      <x:c r="Y88" s="26" t="n">
        <x:f>IF(Z88="No",0,IFERROR(V88/W88,0))</x:f>
        <x:v>8.621369147490276</x:v>
      </x:c>
      <x:c r="Z88" s="27" t="str">
        <x:f>IF(AND(U88=TRUE,V88=0),"No","Yes")</x:f>
        <x:v>Yes</x:v>
      </x:c>
      <x:c r="AA88" s="27" t="str">
        <x:f>IF(Z88="No","Not comparable",IF(X88&gt;0,"Yes","No"))</x:f>
        <x:v>Yes</x:v>
      </x:c>
    </x:row>
    <x:row r="89">
      <x:c r="A89" s="20" t="str">
        <x:v>s50-20261002-12</x:v>
      </x:c>
      <x:c r="B89" s="21" t="n">
        <x:v>46297</x:v>
      </x:c>
      <x:c r="C89" s="22" t="n">
        <x:v>50</x:v>
      </x:c>
      <x:c r="D89" s="20" t="str">
        <x:v>PTS scan card</x:v>
      </x:c>
      <x:c r="E89" s="20" t="str">
        <x:v>Small Alien Encounter</x:v>
      </x:c>
      <x:c r="F89" s="20" t="str">
        <x:v>PvE</x:v>
      </x:c>
      <x:c r="G89" s="23" t="n">
        <x:v>5</x:v>
      </x:c>
      <x:c r="H89" s="23" t="n">
        <x:v>707</x:v>
      </x:c>
      <x:c r="I89" s="23" t="str">
        <x:v>Combat</x:v>
      </x:c>
      <x:c r="J89" s="23" t="n">
        <x:v>2</x:v>
      </x:c>
      <x:c r="K89" s="23" t="n">
        <x:v>43</x:v>
      </x:c>
      <x:c r="L89" s="23" t="n">
        <x:v>3745</x:v>
      </x:c>
      <x:c r="M89" s="20" t="str">
        <x:v>possible</x:v>
      </x:c>
      <x:c r="N89" s="23" t="n">
        <x:v>0</x:v>
      </x:c>
      <x:c r="O89" s="23" t="n">
        <x:v>25522102</x:v>
      </x:c>
      <x:c r="P89" s="23" t="n">
        <x:v>0</x:v>
      </x:c>
      <x:c r="Q89" s="23" t="n">
        <x:v>0</x:v>
      </x:c>
      <x:c r="R89" s="24" t="b">
        <x:v>1</x:v>
      </x:c>
      <x:c r="S89" s="23" t="n">
        <x:v>13392000</x:v>
      </x:c>
      <x:c r="T89" s="24" t="b">
        <x:v>1</x:v>
      </x:c>
      <x:c r="U89" s="24" t="b">
        <x:v>1</x:v>
      </x:c>
      <x:c r="V89" s="25" t="n">
        <x:f>N89+1.5*O89+3*P89+3*Q89</x:f>
        <x:v>38283153</x:v>
      </x:c>
      <x:c r="W89" s="25" t="n">
        <x:f>S89*3</x:f>
        <x:v>40176000</x:v>
      </x:c>
      <x:c r="X89" s="25" t="n">
        <x:f>IF(Z89="No",0,V89-W89)</x:f>
        <x:v>-1892847</x:v>
      </x:c>
      <x:c r="Y89" s="26" t="n">
        <x:f>IF(Z89="No",0,IFERROR(V89/W89,0))</x:f>
        <x:v>0.9528861260454002</x:v>
      </x:c>
      <x:c r="Z89" s="27" t="str">
        <x:f>IF(AND(U89=TRUE,V89=0),"No","Yes")</x:f>
        <x:v>Yes</x:v>
      </x:c>
      <x:c r="AA89" s="27" t="str">
        <x:f>IF(Z89="No","Not comparable",IF(X89&gt;0,"Yes","No"))</x:f>
        <x:v>No</x:v>
      </x:c>
    </x:row>
    <x:row r="90">
      <x:c r="A90" s="20" t="str">
        <x:v>s150-20261002-01</x:v>
      </x:c>
      <x:c r="B90" s="21" t="n">
        <x:v>46297</x:v>
      </x:c>
      <x:c r="C90" s="22" t="n">
        <x:v>150</x:v>
      </x:c>
      <x:c r="D90" s="20" t="str">
        <x:v>PTS scan card</x:v>
      </x:c>
      <x:c r="E90" s="20" t="str">
        <x:v>Medium Alien Encounter</x:v>
      </x:c>
      <x:c r="F90" s="20" t="str">
        <x:v>PvP</x:v>
      </x:c>
      <x:c r="G90" s="23" t="n">
        <x:v>5</x:v>
      </x:c>
      <x:c r="H90" s="23" t="n">
        <x:v>531</x:v>
      </x:c>
      <x:c r="I90" s="23" t="str">
        <x:v>Combat</x:v>
      </x:c>
      <x:c r="J90" s="23" t="n">
        <x:v>1</x:v>
      </x:c>
      <x:c r="K90" s="23" t="n">
        <x:v>29</x:v>
      </x:c>
      <x:c r="L90" s="23" t="n">
        <x:v>10490</x:v>
      </x:c>
      <x:c r="M90" s="20" t="str">
        <x:v>possible</x:v>
      </x:c>
      <x:c r="N90" s="23" t="n">
        <x:v>80506442</x:v>
      </x:c>
      <x:c r="O90" s="23" t="n">
        <x:v>0</x:v>
      </x:c>
      <x:c r="P90" s="23" t="n">
        <x:v>0</x:v>
      </x:c>
      <x:c r="Q90" s="23" t="n">
        <x:v>0</x:v>
      </x:c>
      <x:c r="R90" s="24" t="b">
        <x:v>1</x:v>
      </x:c>
      <x:c r="S90" s="23" t="n">
        <x:v>5029000</x:v>
      </x:c>
      <x:c r="T90" s="24" t="b">
        <x:v>1</x:v>
      </x:c>
      <x:c r="U90" s="24" t="b">
        <x:v>1</x:v>
      </x:c>
      <x:c r="V90" s="25" t="n">
        <x:f>N90+1.5*O90+3*P90+3*Q90</x:f>
        <x:v>80506442</x:v>
      </x:c>
      <x:c r="W90" s="25" t="n">
        <x:f>S90*3</x:f>
        <x:v>15087000</x:v>
      </x:c>
      <x:c r="X90" s="25" t="n">
        <x:f>IF(Z90="No",0,V90-W90)</x:f>
        <x:v>65419442</x:v>
      </x:c>
      <x:c r="Y90" s="26" t="n">
        <x:f>IF(Z90="No",0,IFERROR(V90/W90,0))</x:f>
        <x:v>5.336146483727712</x:v>
      </x:c>
      <x:c r="Z90" s="27" t="str">
        <x:f>IF(AND(U90=TRUE,V90=0),"No","Yes")</x:f>
        <x:v>Yes</x:v>
      </x:c>
      <x:c r="AA90" s="27" t="str">
        <x:f>IF(Z90="No","Not comparable",IF(X90&gt;0,"Yes","No"))</x:f>
        <x:v>Yes</x:v>
      </x:c>
    </x:row>
    <x:row r="91">
      <x:c r="A91" s="20" t="str">
        <x:v>s150-20261002-02</x:v>
      </x:c>
      <x:c r="B91" s="21" t="n">
        <x:v>46297</x:v>
      </x:c>
      <x:c r="C91" s="22" t="n">
        <x:v>150</x:v>
      </x:c>
      <x:c r="D91" s="20" t="str">
        <x:v>PTS scan card</x:v>
      </x:c>
      <x:c r="E91" s="20" t="str">
        <x:v>Medium Pirate Encounter</x:v>
      </x:c>
      <x:c r="F91" s="20" t="str">
        <x:v>PvE</x:v>
      </x:c>
      <x:c r="G91" s="23" t="n">
        <x:v>3</x:v>
      </x:c>
      <x:c r="H91" s="23" t="n">
        <x:v>547</x:v>
      </x:c>
      <x:c r="I91" s="23" t="str">
        <x:v>Combat</x:v>
      </x:c>
      <x:c r="J91" s="23" t="n">
        <x:v>3</x:v>
      </x:c>
      <x:c r="K91" s="23" t="n">
        <x:v>85</x:v>
      </x:c>
      <x:c r="L91" s="23" t="n">
        <x:v>12200</x:v>
      </x:c>
      <x:c r="M91" s="20" t="str">
        <x:v>possible</x:v>
      </x:c>
      <x:c r="N91" s="23" t="n">
        <x:v>0</x:v>
      </x:c>
      <x:c r="O91" s="23" t="n">
        <x:v>0</x:v>
      </x:c>
      <x:c r="P91" s="23" t="n">
        <x:v>0</x:v>
      </x:c>
      <x:c r="Q91" s="23" t="n">
        <x:v>0</x:v>
      </x:c>
      <x:c r="R91" s="24" t="b">
        <x:v>1</x:v>
      </x:c>
      <x:c r="S91" s="23" t="n">
        <x:v>9325000</x:v>
      </x:c>
      <x:c r="T91" s="24" t="b">
        <x:v>1</x:v>
      </x:c>
      <x:c r="U91" s="24" t="b">
        <x:v>1</x:v>
      </x:c>
      <x:c r="V91" s="25" t="n">
        <x:f>N91+1.5*O91+3*P91+3*Q91</x:f>
        <x:v>0</x:v>
      </x:c>
      <x:c r="W91" s="25" t="n">
        <x:f>S91*3</x:f>
        <x:v>27975000</x:v>
      </x:c>
      <x:c r="X91" s="25" t="n">
        <x:f>IF(Z91="No",0,V91-W91)</x:f>
        <x:v>0</x:v>
      </x:c>
      <x:c r="Y91" s="26" t="n">
        <x:f>IF(Z91="No",0,IFERROR(V91/W91,0))</x:f>
        <x:v>0</x:v>
      </x:c>
      <x:c r="Z91" s="27" t="str">
        <x:f>IF(AND(U91=TRUE,V91=0),"No","Yes")</x:f>
        <x:v>No</x:v>
      </x:c>
      <x:c r="AA91" s="27" t="str">
        <x:f>IF(Z91="No","Not comparable",IF(X91&gt;0,"Yes","No"))</x:f>
        <x:v>Not comparable</x:v>
      </x:c>
    </x:row>
    <x:row r="92">
      <x:c r="A92" s="20" t="str">
        <x:v>s150-20261002-03</x:v>
      </x:c>
      <x:c r="B92" s="21" t="n">
        <x:v>46297</x:v>
      </x:c>
      <x:c r="C92" s="22" t="n">
        <x:v>150</x:v>
      </x:c>
      <x:c r="D92" s="20" t="str">
        <x:v>PTS scan card</x:v>
      </x:c>
      <x:c r="E92" s="20" t="str">
        <x:v>Medium Pirate Encounter</x:v>
      </x:c>
      <x:c r="F92" s="20" t="str">
        <x:v>PvE</x:v>
      </x:c>
      <x:c r="G92" s="23" t="n">
        <x:v>1</x:v>
      </x:c>
      <x:c r="H92" s="23" t="n">
        <x:v>694</x:v>
      </x:c>
      <x:c r="I92" s="23" t="str">
        <x:v>Combat</x:v>
      </x:c>
      <x:c r="J92" s="23" t="n">
        <x:v>2</x:v>
      </x:c>
      <x:c r="K92" s="23" t="n">
        <x:v>51</x:v>
      </x:c>
      <x:c r="L92" s="23" t="n">
        <x:v>7545</x:v>
      </x:c>
      <x:c r="M92" s="20" t="str">
        <x:v>possible</x:v>
      </x:c>
      <x:c r="N92" s="23" t="n">
        <x:v>8665123</x:v>
      </x:c>
      <x:c r="O92" s="23" t="n">
        <x:v>0</x:v>
      </x:c>
      <x:c r="P92" s="23" t="n">
        <x:v>0</x:v>
      </x:c>
      <x:c r="Q92" s="23" t="n">
        <x:v>0</x:v>
      </x:c>
      <x:c r="R92" s="24" t="b">
        <x:v>1</x:v>
      </x:c>
      <x:c r="S92" s="23" t="n">
        <x:v>2629000</x:v>
      </x:c>
      <x:c r="T92" s="24" t="b">
        <x:v>1</x:v>
      </x:c>
      <x:c r="U92" s="24" t="b">
        <x:v>1</x:v>
      </x:c>
      <x:c r="V92" s="25" t="n">
        <x:f>N92+1.5*O92+3*P92+3*Q92</x:f>
        <x:v>8665123</x:v>
      </x:c>
      <x:c r="W92" s="25" t="n">
        <x:f>S92*3</x:f>
        <x:v>7887000</x:v>
      </x:c>
      <x:c r="X92" s="25" t="n">
        <x:f>IF(Z92="No",0,V92-W92)</x:f>
        <x:v>778123</x:v>
      </x:c>
      <x:c r="Y92" s="26" t="n">
        <x:f>IF(Z92="No",0,IFERROR(V92/W92,0))</x:f>
        <x:v>1.0986589324204388</x:v>
      </x:c>
      <x:c r="Z92" s="27" t="str">
        <x:f>IF(AND(U92=TRUE,V92=0),"No","Yes")</x:f>
        <x:v>Yes</x:v>
      </x:c>
      <x:c r="AA92" s="27" t="str">
        <x:f>IF(Z92="No","Not comparable",IF(X92&gt;0,"Yes","No"))</x:f>
        <x:v>Yes</x:v>
      </x:c>
    </x:row>
    <x:row r="93">
      <x:c r="A93" s="20" t="str">
        <x:v>s150-20261002-04</x:v>
      </x:c>
      <x:c r="B93" s="21" t="n">
        <x:v>46297</x:v>
      </x:c>
      <x:c r="C93" s="22" t="n">
        <x:v>150</x:v>
      </x:c>
      <x:c r="D93" s="20" t="str">
        <x:v>PTS scan card</x:v>
      </x:c>
      <x:c r="E93" s="20" t="str">
        <x:v>Delivery: Metal</x:v>
      </x:c>
      <x:c r="F93" s="20" t="str">
        <x:v>PvE</x:v>
      </x:c>
      <x:c r="G93" s="23" t="n">
        <x:v>3</x:v>
      </x:c>
      <x:c r="H93" s="23" t="n">
        <x:v>524</x:v>
      </x:c>
      <x:c r="I93" s="23" t="str">
        <x:v>Delivery</x:v>
      </x:c>
      <x:c r="J93" s="23" t="n">
        <x:v>4</x:v>
      </x:c>
      <x:c r="K93" s="23" t="n">
        <x:v>141</x:v>
      </x:c>
      <x:c r="L93" s="23" t="n">
        <x:v>8210</x:v>
      </x:c>
      <x:c r="M93" s="20" t="str">
        <x:v>possible</x:v>
      </x:c>
      <x:c r="N93" s="23" t="n">
        <x:v>75706564</x:v>
      </x:c>
      <x:c r="O93" s="23" t="n">
        <x:v>0</x:v>
      </x:c>
      <x:c r="P93" s="23" t="n">
        <x:v>0</x:v>
      </x:c>
      <x:c r="Q93" s="23" t="n">
        <x:v>0</x:v>
      </x:c>
      <x:c r="R93" s="24" t="b">
        <x:v>1</x:v>
      </x:c>
      <x:c r="S93" s="23" t="n">
        <x:v>11911000</x:v>
      </x:c>
      <x:c r="T93" s="24" t="b">
        <x:v>1</x:v>
      </x:c>
      <x:c r="U93" s="24" t="b">
        <x:v>1</x:v>
      </x:c>
      <x:c r="V93" s="25" t="n">
        <x:f>N93+1.5*O93+3*P93+3*Q93</x:f>
        <x:v>75706564</x:v>
      </x:c>
      <x:c r="W93" s="25" t="n">
        <x:f>S93*3</x:f>
        <x:v>35733000</x:v>
      </x:c>
      <x:c r="X93" s="25" t="n">
        <x:f>IF(Z93="No",0,V93-W93)</x:f>
        <x:v>39973564</x:v>
      </x:c>
      <x:c r="Y93" s="26" t="n">
        <x:f>IF(Z93="No",0,IFERROR(V93/W93,0))</x:f>
        <x:v>2.1186736070299164</x:v>
      </x:c>
      <x:c r="Z93" s="27" t="str">
        <x:f>IF(AND(U93=TRUE,V93=0),"No","Yes")</x:f>
        <x:v>Yes</x:v>
      </x:c>
      <x:c r="AA93" s="27" t="str">
        <x:f>IF(Z93="No","Not comparable",IF(X93&gt;0,"Yes","No"))</x:f>
        <x:v>Yes</x:v>
      </x:c>
    </x:row>
    <x:row r="94">
      <x:c r="A94" s="20" t="str">
        <x:v>s150-20261002-05</x:v>
      </x:c>
      <x:c r="B94" s="21" t="n">
        <x:v>46297</x:v>
      </x:c>
      <x:c r="C94" s="22" t="n">
        <x:v>150</x:v>
      </x:c>
      <x:c r="D94" s="20" t="str">
        <x:v>PTS scan card</x:v>
      </x:c>
      <x:c r="E94" s="20" t="str">
        <x:v>Resource: Deuterium</x:v>
      </x:c>
      <x:c r="F94" s="20" t="str">
        <x:v>PvP</x:v>
      </x:c>
      <x:c r="G94" s="23" t="n">
        <x:v>2</x:v>
      </x:c>
      <x:c r="H94" s="23" t="n">
        <x:v>724</x:v>
      </x:c>
      <x:c r="I94" s="23" t="str">
        <x:v>Combat</x:v>
      </x:c>
      <x:c r="J94" s="23" t="n">
        <x:v>4</x:v>
      </x:c>
      <x:c r="K94" s="23" t="n">
        <x:v>101</x:v>
      </x:c>
      <x:c r="L94" s="23" t="n">
        <x:v>3935</x:v>
      </x:c>
      <x:c r="M94" s="20" t="str">
        <x:v>possible</x:v>
      </x:c>
      <x:c r="N94" s="23" t="n">
        <x:v>0</x:v>
      </x:c>
      <x:c r="O94" s="23" t="n">
        <x:v>0</x:v>
      </x:c>
      <x:c r="P94" s="23" t="n">
        <x:v>81703872</x:v>
      </x:c>
      <x:c r="Q94" s="23" t="n">
        <x:v>0</x:v>
      </x:c>
      <x:c r="R94" s="24" t="b">
        <x:v>1</x:v>
      </x:c>
      <x:c r="S94" s="23" t="n">
        <x:v>10971000</x:v>
      </x:c>
      <x:c r="T94" s="24" t="b">
        <x:v>1</x:v>
      </x:c>
      <x:c r="U94" s="24" t="b">
        <x:v>1</x:v>
      </x:c>
      <x:c r="V94" s="25" t="n">
        <x:f>N94+1.5*O94+3*P94+3*Q94</x:f>
        <x:v>245111616</x:v>
      </x:c>
      <x:c r="W94" s="25" t="n">
        <x:f>S94*3</x:f>
        <x:v>32913000</x:v>
      </x:c>
      <x:c r="X94" s="25" t="n">
        <x:f>IF(Z94="No",0,V94-W94)</x:f>
        <x:v>212198616</x:v>
      </x:c>
      <x:c r="Y94" s="26" t="n">
        <x:f>IF(Z94="No",0,IFERROR(V94/W94,0))</x:f>
        <x:v>7.447258408531583</x:v>
      </x:c>
      <x:c r="Z94" s="27" t="str">
        <x:f>IF(AND(U94=TRUE,V94=0),"No","Yes")</x:f>
        <x:v>Yes</x:v>
      </x:c>
      <x:c r="AA94" s="27" t="str">
        <x:f>IF(Z94="No","Not comparable",IF(X94&gt;0,"Yes","No"))</x:f>
        <x:v>Yes</x:v>
      </x:c>
    </x:row>
    <x:row r="95">
      <x:c r="A95" s="20" t="str">
        <x:v>s150-20261002-06</x:v>
      </x:c>
      <x:c r="B95" s="21" t="n">
        <x:v>46297</x:v>
      </x:c>
      <x:c r="C95" s="22" t="n">
        <x:v>150</x:v>
      </x:c>
      <x:c r="D95" s="20" t="str">
        <x:v>PTS scan card</x:v>
      </x:c>
      <x:c r="E95" s="20" t="str">
        <x:v>Resource: Deuterium</x:v>
      </x:c>
      <x:c r="F95" s="20" t="str">
        <x:v>PvE</x:v>
      </x:c>
      <x:c r="G95" s="23" t="n">
        <x:v>4</x:v>
      </x:c>
      <x:c r="H95" s="23" t="n">
        <x:v>632</x:v>
      </x:c>
      <x:c r="I95" s="23" t="str">
        <x:v>Combat</x:v>
      </x:c>
      <x:c r="J95" s="23" t="n">
        <x:v>7</x:v>
      </x:c>
      <x:c r="K95" s="23" t="n">
        <x:v>187</x:v>
      </x:c>
      <x:c r="L95" s="23" t="n">
        <x:v>15620</x:v>
      </x:c>
      <x:c r="M95" s="20" t="str">
        <x:v>possible</x:v>
      </x:c>
      <x:c r="N95" s="23" t="n">
        <x:v>0</x:v>
      </x:c>
      <x:c r="O95" s="23" t="n">
        <x:v>0</x:v>
      </x:c>
      <x:c r="P95" s="23" t="n">
        <x:v>98810124</x:v>
      </x:c>
      <x:c r="Q95" s="23" t="n">
        <x:v>0</x:v>
      </x:c>
      <x:c r="R95" s="24" t="b">
        <x:v>1</x:v>
      </x:c>
      <x:c r="S95" s="23" t="n">
        <x:v>33521000</x:v>
      </x:c>
      <x:c r="T95" s="24" t="b">
        <x:v>1</x:v>
      </x:c>
      <x:c r="U95" s="24" t="b">
        <x:v>1</x:v>
      </x:c>
      <x:c r="V95" s="25" t="n">
        <x:f>N95+1.5*O95+3*P95+3*Q95</x:f>
        <x:v>296430372</x:v>
      </x:c>
      <x:c r="W95" s="25" t="n">
        <x:f>S95*3</x:f>
        <x:v>100563000</x:v>
      </x:c>
      <x:c r="X95" s="25" t="n">
        <x:f>IF(Z95="No",0,V95-W95)</x:f>
        <x:v>195867372</x:v>
      </x:c>
      <x:c r="Y95" s="26" t="n">
        <x:f>IF(Z95="No",0,IFERROR(V95/W95,0))</x:f>
        <x:v>2.9477081232660125</x:v>
      </x:c>
      <x:c r="Z95" s="27" t="str">
        <x:f>IF(AND(U95=TRUE,V95=0),"No","Yes")</x:f>
        <x:v>Yes</x:v>
      </x:c>
      <x:c r="AA95" s="27" t="str">
        <x:f>IF(Z95="No","Not comparable",IF(X95&gt;0,"Yes","No"))</x:f>
        <x:v>Yes</x:v>
      </x:c>
    </x:row>
    <x:row r="96">
      <x:c r="A96" s="20" t="str">
        <x:v>s150-20261002-07</x:v>
      </x:c>
      <x:c r="B96" s="21" t="n">
        <x:v>46297</x:v>
      </x:c>
      <x:c r="C96" s="22" t="n">
        <x:v>150</x:v>
      </x:c>
      <x:c r="D96" s="20" t="str">
        <x:v>PTS scan card</x:v>
      </x:c>
      <x:c r="E96" s="20" t="str">
        <x:v>Resource: Crystal</x:v>
      </x:c>
      <x:c r="F96" s="20" t="str">
        <x:v>PvP</x:v>
      </x:c>
      <x:c r="G96" s="23" t="n">
        <x:v>2</x:v>
      </x:c>
      <x:c r="H96" s="23" t="n">
        <x:v>585</x:v>
      </x:c>
      <x:c r="I96" s="23" t="str">
        <x:v>Combat</x:v>
      </x:c>
      <x:c r="J96" s="23" t="n">
        <x:v>7</x:v>
      </x:c>
      <x:c r="K96" s="23" t="n">
        <x:v>193</x:v>
      </x:c>
      <x:c r="L96" s="23" t="n">
        <x:v>12200</x:v>
      </x:c>
      <x:c r="M96" s="20" t="str">
        <x:v>possible</x:v>
      </x:c>
      <x:c r="N96" s="23" t="n">
        <x:v>0</x:v>
      </x:c>
      <x:c r="O96" s="23" t="n">
        <x:v>187246339</x:v>
      </x:c>
      <x:c r="P96" s="23" t="n">
        <x:v>0</x:v>
      </x:c>
      <x:c r="Q96" s="23" t="n">
        <x:v>0</x:v>
      </x:c>
      <x:c r="R96" s="24" t="b">
        <x:v>1</x:v>
      </x:c>
      <x:c r="S96" s="23" t="n">
        <x:v>15514000</x:v>
      </x:c>
      <x:c r="T96" s="24" t="b">
        <x:v>1</x:v>
      </x:c>
      <x:c r="U96" s="24" t="b">
        <x:v>1</x:v>
      </x:c>
      <x:c r="V96" s="25" t="n">
        <x:f>N96+1.5*O96+3*P96+3*Q96</x:f>
        <x:v>280869508.5</x:v>
      </x:c>
      <x:c r="W96" s="25" t="n">
        <x:f>S96*3</x:f>
        <x:v>46542000</x:v>
      </x:c>
      <x:c r="X96" s="25" t="n">
        <x:f>IF(Z96="No",0,V96-W96)</x:f>
        <x:v>234327508.5</x:v>
      </x:c>
      <x:c r="Y96" s="26" t="n">
        <x:f>IF(Z96="No",0,IFERROR(V96/W96,0))</x:f>
        <x:v>6.034753738558721</x:v>
      </x:c>
      <x:c r="Z96" s="27" t="str">
        <x:f>IF(AND(U96=TRUE,V96=0),"No","Yes")</x:f>
        <x:v>Yes</x:v>
      </x:c>
      <x:c r="AA96" s="27" t="str">
        <x:f>IF(Z96="No","Not comparable",IF(X96&gt;0,"Yes","No"))</x:f>
        <x:v>Yes</x:v>
      </x:c>
    </x:row>
    <x:row r="97">
      <x:c r="A97" s="20" t="str">
        <x:v>s150-20261002-08</x:v>
      </x:c>
      <x:c r="B97" s="21" t="n">
        <x:v>46297</x:v>
      </x:c>
      <x:c r="C97" s="22" t="n">
        <x:v>150</x:v>
      </x:c>
      <x:c r="D97" s="20" t="str">
        <x:v>PTS scan card</x:v>
      </x:c>
      <x:c r="E97" s="20" t="str">
        <x:v>Rescue</x:v>
      </x:c>
      <x:c r="F97" s="20" t="str">
        <x:v>PvE</x:v>
      </x:c>
      <x:c r="G97" s="23" t="n">
        <x:v>1</x:v>
      </x:c>
      <x:c r="H97" s="23" t="n">
        <x:v>634</x:v>
      </x:c>
      <x:c r="I97" s="23" t="str">
        <x:v>Combat</x:v>
      </x:c>
      <x:c r="J97" s="23" t="n">
        <x:v>1</x:v>
      </x:c>
      <x:c r="K97" s="23" t="n">
        <x:v>30</x:v>
      </x:c>
      <x:c r="L97" s="23" t="n">
        <x:v>11630</x:v>
      </x:c>
      <x:c r="M97" s="20" t="str">
        <x:v>possible</x:v>
      </x:c>
      <x:c r="N97" s="23" t="n">
        <x:v>0</x:v>
      </x:c>
      <x:c r="O97" s="23" t="n">
        <x:v>0</x:v>
      </x:c>
      <x:c r="P97" s="23" t="n">
        <x:v>0</x:v>
      </x:c>
      <x:c r="Q97" s="23" t="n">
        <x:v>0</x:v>
      </x:c>
      <x:c r="R97" s="24" t="b">
        <x:v>1</x:v>
      </x:c>
      <x:c r="S97" s="23" t="n">
        <x:v>1200000</x:v>
      </x:c>
      <x:c r="T97" s="24" t="b">
        <x:v>1</x:v>
      </x:c>
      <x:c r="U97" s="24" t="b">
        <x:v>1</x:v>
      </x:c>
      <x:c r="V97" s="25" t="n">
        <x:f>N97+1.5*O97+3*P97+3*Q97</x:f>
        <x:v>0</x:v>
      </x:c>
      <x:c r="W97" s="25" t="n">
        <x:f>S97*3</x:f>
        <x:v>3600000</x:v>
      </x:c>
      <x:c r="X97" s="25" t="n">
        <x:f>IF(Z97="No",0,V97-W97)</x:f>
        <x:v>0</x:v>
      </x:c>
      <x:c r="Y97" s="26" t="n">
        <x:f>IF(Z97="No",0,IFERROR(V97/W97,0))</x:f>
        <x:v>0</x:v>
      </x:c>
      <x:c r="Z97" s="27" t="str">
        <x:f>IF(AND(U97=TRUE,V97=0),"No","Yes")</x:f>
        <x:v>No</x:v>
      </x:c>
      <x:c r="AA97" s="27" t="str">
        <x:f>IF(Z97="No","Not comparable",IF(X97&gt;0,"Yes","No"))</x:f>
        <x:v>Not comparable</x:v>
      </x:c>
    </x:row>
    <x:row r="98">
      <x:c r="A98" s="20" t="str">
        <x:v>s150-20261002-09</x:v>
      </x:c>
      <x:c r="B98" s="21" t="n">
        <x:v>46297</x:v>
      </x:c>
      <x:c r="C98" s="22" t="n">
        <x:v>150</x:v>
      </x:c>
      <x:c r="D98" s="20" t="str">
        <x:v>PTS scan card</x:v>
      </x:c>
      <x:c r="E98" s="20" t="str">
        <x:v>Small Alien Encounter</x:v>
      </x:c>
      <x:c r="F98" s="20" t="str">
        <x:v>PvE</x:v>
      </x:c>
      <x:c r="G98" s="23" t="n">
        <x:v>1</x:v>
      </x:c>
      <x:c r="H98" s="23" t="n">
        <x:v>713</x:v>
      </x:c>
      <x:c r="I98" s="23" t="str">
        <x:v>Combat</x:v>
      </x:c>
      <x:c r="J98" s="23" t="n">
        <x:v>3</x:v>
      </x:c>
      <x:c r="K98" s="23" t="n">
        <x:v>80</x:v>
      </x:c>
      <x:c r="L98" s="23" t="n">
        <x:v>80000</x:v>
      </x:c>
      <x:c r="M98" s="20" t="str">
        <x:v>possible</x:v>
      </x:c>
      <x:c r="N98" s="23" t="n">
        <x:v>0</x:v>
      </x:c>
      <x:c r="O98" s="23" t="n">
        <x:v>3891882</x:v>
      </x:c>
      <x:c r="P98" s="23" t="n">
        <x:v>2534693</x:v>
      </x:c>
      <x:c r="Q98" s="23" t="n">
        <x:v>0</x:v>
      </x:c>
      <x:c r="R98" s="24" t="b">
        <x:v>1</x:v>
      </x:c>
      <x:c r="S98" s="23" t="n">
        <x:v>3005000</x:v>
      </x:c>
      <x:c r="T98" s="24" t="b">
        <x:v>1</x:v>
      </x:c>
      <x:c r="U98" s="24" t="b">
        <x:v>1</x:v>
      </x:c>
      <x:c r="V98" s="25" t="n">
        <x:f>N98+1.5*O98+3*P98+3*Q98</x:f>
        <x:v>13441902</x:v>
      </x:c>
      <x:c r="W98" s="25" t="n">
        <x:f>S98*3</x:f>
        <x:v>9015000</x:v>
      </x:c>
      <x:c r="X98" s="25" t="n">
        <x:f>IF(Z98="No",0,V98-W98)</x:f>
        <x:v>4426902</x:v>
      </x:c>
      <x:c r="Y98" s="26" t="n">
        <x:f>IF(Z98="No",0,IFERROR(V98/W98,0))</x:f>
        <x:v>1.4910595673876872</x:v>
      </x:c>
      <x:c r="Z98" s="27" t="str">
        <x:f>IF(AND(U98=TRUE,V98=0),"No","Yes")</x:f>
        <x:v>Yes</x:v>
      </x:c>
      <x:c r="AA98" s="27" t="str">
        <x:f>IF(Z98="No","Not comparable",IF(X98&gt;0,"Yes","No"))</x:f>
        <x:v>Yes</x:v>
      </x:c>
    </x:row>
    <x:row r="99">
      <x:c r="A99" s="20" t="str">
        <x:v>s150-20261002-10</x:v>
      </x:c>
      <x:c r="B99" s="21" t="n">
        <x:v>46297</x:v>
      </x:c>
      <x:c r="C99" s="22" t="n">
        <x:v>150</x:v>
      </x:c>
      <x:c r="D99" s="20" t="str">
        <x:v>PTS scan card</x:v>
      </x:c>
      <x:c r="E99" s="20" t="str">
        <x:v>Alien Encounter</x:v>
      </x:c>
      <x:c r="F99" s="20" t="str">
        <x:v>PvP</x:v>
      </x:c>
      <x:c r="G99" s="23" t="n">
        <x:v>2</x:v>
      </x:c>
      <x:c r="H99" s="23" t="n">
        <x:v>518</x:v>
      </x:c>
      <x:c r="I99" s="23" t="str">
        <x:v>Combat</x:v>
      </x:c>
      <x:c r="J99" s="23" t="n">
        <x:v>4</x:v>
      </x:c>
      <x:c r="K99" s="23" t="n">
        <x:v>114</x:v>
      </x:c>
      <x:c r="L99" s="23" t="n">
        <x:v>80000</x:v>
      </x:c>
      <x:c r="M99" s="20" t="str">
        <x:v>possible</x:v>
      </x:c>
      <x:c r="N99" s="23" t="n">
        <x:v>34162460</x:v>
      </x:c>
      <x:c r="O99" s="23" t="n">
        <x:v>15210784</x:v>
      </x:c>
      <x:c r="P99" s="23" t="n">
        <x:v>35122812</x:v>
      </x:c>
      <x:c r="Q99" s="23" t="n">
        <x:v>0</x:v>
      </x:c>
      <x:c r="R99" s="24" t="b">
        <x:v>1</x:v>
      </x:c>
      <x:c r="S99" s="23" t="n">
        <x:v>5822000</x:v>
      </x:c>
      <x:c r="T99" s="24" t="b">
        <x:v>1</x:v>
      </x:c>
      <x:c r="U99" s="24" t="b">
        <x:v>1</x:v>
      </x:c>
      <x:c r="V99" s="25" t="n">
        <x:f>N99+1.5*O99+3*P99+3*Q99</x:f>
        <x:v>162347072</x:v>
      </x:c>
      <x:c r="W99" s="25" t="n">
        <x:f>S99*3</x:f>
        <x:v>17466000</x:v>
      </x:c>
      <x:c r="X99" s="25" t="n">
        <x:f>IF(Z99="No",0,V99-W99)</x:f>
        <x:v>144881072</x:v>
      </x:c>
      <x:c r="Y99" s="26" t="n">
        <x:f>IF(Z99="No",0,IFERROR(V99/W99,0))</x:f>
        <x:v>9.295034466964388</x:v>
      </x:c>
      <x:c r="Z99" s="27" t="str">
        <x:f>IF(AND(U99=TRUE,V99=0),"No","Yes")</x:f>
        <x:v>Yes</x:v>
      </x:c>
      <x:c r="AA99" s="27" t="str">
        <x:f>IF(Z99="No","Not comparable",IF(X99&gt;0,"Yes","No"))</x:f>
        <x:v>Yes</x:v>
      </x:c>
    </x:row>
    <x:row r="100">
      <x:c r="A100" s="20" t="str">
        <x:v>s150-20261002-11</x:v>
      </x:c>
      <x:c r="B100" s="21" t="n">
        <x:v>46297</x:v>
      </x:c>
      <x:c r="C100" s="22" t="n">
        <x:v>150</x:v>
      </x:c>
      <x:c r="D100" s="20" t="str">
        <x:v>PTS scan card</x:v>
      </x:c>
      <x:c r="E100" s="20" t="str">
        <x:v>Delivery: Metal</x:v>
      </x:c>
      <x:c r="F100" s="20" t="str">
        <x:v>PvE</x:v>
      </x:c>
      <x:c r="G100" s="23" t="n">
        <x:v>2</x:v>
      </x:c>
      <x:c r="H100" s="23" t="n">
        <x:v>496</x:v>
      </x:c>
      <x:c r="I100" s="23" t="str">
        <x:v>Delivery</x:v>
      </x:c>
      <x:c r="J100" s="23" t="n">
        <x:v>1</x:v>
      </x:c>
      <x:c r="K100" s="23" t="n">
        <x:v>36</x:v>
      </x:c>
      <x:c r="L100" s="23" t="n">
        <x:v>80000</x:v>
      </x:c>
      <x:c r="M100" s="20" t="str">
        <x:v>possible</x:v>
      </x:c>
      <x:c r="N100" s="23" t="n">
        <x:v>8367185</x:v>
      </x:c>
      <x:c r="O100" s="23" t="n">
        <x:v>0</x:v>
      </x:c>
      <x:c r="P100" s="23" t="n">
        <x:v>0</x:v>
      </x:c>
      <x:c r="Q100" s="23" t="n">
        <x:v>0</x:v>
      </x:c>
      <x:c r="R100" s="24" t="b">
        <x:v>1</x:v>
      </x:c>
      <x:c r="S100" s="23" t="n">
        <x:v>1393000</x:v>
      </x:c>
      <x:c r="T100" s="24" t="b">
        <x:v>1</x:v>
      </x:c>
      <x:c r="U100" s="24" t="b">
        <x:v>1</x:v>
      </x:c>
      <x:c r="V100" s="25" t="n">
        <x:f>N100+1.5*O100+3*P100+3*Q100</x:f>
        <x:v>8367185</x:v>
      </x:c>
      <x:c r="W100" s="25" t="n">
        <x:f>S100*3</x:f>
        <x:v>4179000</x:v>
      </x:c>
      <x:c r="X100" s="25" t="n">
        <x:f>IF(Z100="No",0,V100-W100)</x:f>
        <x:v>4188185</x:v>
      </x:c>
      <x:c r="Y100" s="26" t="n">
        <x:f>IF(Z100="No",0,IFERROR(V100/W100,0))</x:f>
        <x:v>2.00219789423307</x:v>
      </x:c>
      <x:c r="Z100" s="27" t="str">
        <x:f>IF(AND(U100=TRUE,V100=0),"No","Yes")</x:f>
        <x:v>Yes</x:v>
      </x:c>
      <x:c r="AA100" s="27" t="str">
        <x:f>IF(Z100="No","Not comparable",IF(X100&gt;0,"Yes","No"))</x:f>
        <x:v>Yes</x:v>
      </x:c>
    </x:row>
    <x:row r="101">
      <x:c r="A101" s="20" t="str">
        <x:v>delivery-metal-626-pve-4star-collected</x:v>
      </x:c>
      <x:c r="B101" s="21" t="n">
        <x:v>46296</x:v>
      </x:c>
      <x:c r="C101" s="22" t="str">
        <x:v>Unknown</x:v>
      </x:c>
      <x:c r="D101" s="20" t="str">
        <x:v>PTS reward claim dialog</x:v>
      </x:c>
      <x:c r="E101" s="20" t="str">
        <x:v>Delivery: Metal</x:v>
      </x:c>
      <x:c r="F101" s="20" t="str">
        <x:v>PvE</x:v>
      </x:c>
      <x:c r="G101" s="23" t="n">
        <x:v>4</x:v>
      </x:c>
      <x:c r="H101" s="23" t="n">
        <x:v>626</x:v>
      </x:c>
      <x:c r="I101" s="23" t="str">
        <x:v>Delivery</x:v>
      </x:c>
      <x:c r="J101" s="23" t="n">
        <x:v>4</x:v>
      </x:c>
      <x:c r="K101" s="23" t="n">
        <x:v>90</x:v>
      </x:c>
      <x:c r="L101" s="23" t="n">
        <x:v>3555</x:v>
      </x:c>
      <x:c r="M101" s="20" t="str">
        <x:v>collected</x:v>
      </x:c>
      <x:c r="N101" s="23" t="n">
        <x:v>59634076</x:v>
      </x:c>
      <x:c r="O101" s="23" t="n">
        <x:v>0</x:v>
      </x:c>
      <x:c r="P101" s="23" t="n">
        <x:v>0</x:v>
      </x:c>
      <x:c r="Q101" s="23" t="n">
        <x:v>0</x:v>
      </x:c>
      <x:c r="R101" s="24" t="b">
        <x:v>0</x:v>
      </x:c>
      <x:c r="S101" s="23" t="n">
        <x:v>14073696</x:v>
      </x:c>
      <x:c r="T101" s="24" t="b">
        <x:v>0</x:v>
      </x:c>
      <x:c r="U101" s="24" t="b">
        <x:v>0</x:v>
      </x:c>
      <x:c r="V101" s="25" t="n">
        <x:f>N101+1.5*O101+3*P101+3*Q101</x:f>
        <x:v>59634076</x:v>
      </x:c>
      <x:c r="W101" s="25" t="n">
        <x:f>S101*3</x:f>
        <x:v>42221088</x:v>
      </x:c>
      <x:c r="X101" s="25" t="n">
        <x:f>IF(Z101="No",0,V101-W101)</x:f>
        <x:v>17412988</x:v>
      </x:c>
      <x:c r="Y101" s="26" t="n">
        <x:f>IF(Z101="No",0,IFERROR(V101/W101,0))</x:f>
        <x:v>1.4124239526939713</x:v>
      </x:c>
      <x:c r="Z101" s="27" t="str">
        <x:f>IF(AND(U101=TRUE,V101=0),"No","Yes")</x:f>
        <x:v>Yes</x:v>
      </x:c>
      <x:c r="AA101" s="27" t="str">
        <x:f>IF(Z101="No","Not comparable",IF(X101&gt;0,"Yes","No"))</x:f>
        <x:v>Yes</x:v>
      </x:c>
    </x:row>
  </x:sheetData>
  <x:conditionalFormatting sqref="X2:X101">
    <x:cfRule type="cellIs" dxfId="0" priority="1" operator="lessThan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e77b31e3d4c45c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05" hidden="0" customWidth="1"/>
  </x:cols>
  <x:sheetData>
    <x:row r="1">
      <x:c r="A1" s="1" t="str">
        <x:v>How to use the Orion mission dataset</x:v>
      </x:c>
    </x:row>
    <x:row r="3">
      <x:c r="A3" s="4" t="str">
        <x:v>Field</x:v>
      </x:c>
      <x:c r="B3" s="4" t="str">
        <x:v>Meaning</x:v>
      </x:c>
    </x:row>
    <x:row r="4" ht="35" customHeight="1">
      <x:c r="A4" s="32" t="str">
        <x:v>Scan reach</x:v>
      </x:c>
      <x:c r="B4" s="32" t="str">
        <x:v>Selected scanner reach in systems. Kept separate from mission-card Distance.</x:v>
      </x:c>
    </x:row>
    <x:row r="5" ht="35" customHeight="1">
      <x:c r="A5" s="32" t="str">
        <x:v>Possible vs collected</x:v>
      </x:c>
      <x:c r="B5" s="32" t="str">
        <x:v>Displayed possible resource rewards have matched collected amounts in completed PTS missions so far. Collected records come from a claim dialog.</x:v>
      </x:c>
    </x:row>
    <x:row r="6" ht="35" customHeight="1">
      <x:c r="A6" s="32" t="str">
        <x:v>Reward MSU</x:v>
      </x:c>
      <x:c r="B6" s="32" t="str">
        <x:v>Metal + 1.5 × Crystal + 3 × Deuterium + 3 × Lithium reward.</x:v>
      </x:c>
    </x:row>
    <x:row r="7" ht="35" customHeight="1">
      <x:c r="A7" s="32" t="str">
        <x:v>Claim cost MSU</x:v>
      </x:c>
      <x:c r="B7" s="32" t="str">
        <x:v>Lithium claim cost × 3 is a common comparison benchmark, based on the observed 3 Metal : 1 Lithium conversion and no CC discount.</x:v>
      </x:c>
    </x:row>
    <x:row r="8" ht="35" customHeight="1">
      <x:c r="A8" s="32" t="str">
        <x:v>Comparable resource value</x:v>
      </x:c>
      <x:c r="B8" s="32" t="str">
        <x:v>No means only a non-resource reward was shown, so resource-only ratio and net are not meaningful.</x:v>
      </x:c>
    </x:row>
    <x:row r="9" ht="35" customHeight="1">
      <x:c r="A9" s="32" t="str">
        <x:v>Data source</x:v>
      </x:c>
      <x:c r="B9" s="32" t="str">
        <x:v>The workbook is generated from data/mission-roi-samples.json in the Orion project. Keep record IDs unique when adding rows.</x:v>
      </x:c>
    </x:row>
    <x:row r="11">
      <x:c r="A11" s="30" t="str">
        <x:v>Research cautions</x:v>
      </x:c>
    </x:row>
    <x:row r="12" ht="34" customHeight="1">
      <x:c r="A12" s="32" t="str">
        <x:v>Reach cohorts are not matched</x:v>
      </x:c>
      <x:c r="B12" s="32" t="str">
        <x:v>Different missions appear in each reach group, so do not infer that higher reach causes higher or lower rewards.</x:v>
      </x:c>
    </x:row>
    <x:row r="13" ht="34" customHeight="1">
      <x:c r="A13" s="32" t="str">
        <x:v>Distance and reach differ</x:v>
      </x:c>
      <x:c r="B13" s="32" t="str">
        <x:v>Distance is taken from the mission card. Scan reach is the selected setting.</x:v>
      </x:c>
    </x:row>
    <x:row r="14" ht="34" customHeight="1">
      <x:c r="A14" s="32" t="str">
        <x:v>Reward-to-cost is not total profit</x:v>
      </x:c>
      <x:c r="B14" s="32" t="str">
        <x:v>Scan costs, time, fleet losses including player attacks on PvP missions, and ships or special rewards are not priced.</x:v>
      </x:c>
    </x:row>
    <x:row r="15" ht="34" customHeight="1">
      <x:c r="A15" s="32" t="str">
        <x:v>Rounded observations</x:v>
      </x:c>
      <x:c r="B15" s="32" t="str">
        <x:v>Approximate card rewards and rounded claim costs are flagged in their source columns.</x:v>
      </x:c>
    </x:row>
    <x:row r="16" ht="34" customHeight="1">
      <x:c r="A16" s="32" t="str">
        <x:v>Surplus Food route</x:v>
      </x:c>
      <x:c r="B16" s="32" t="str">
        <x:v>After population growth, surplus Food may have little other use. Lithium made from it can cost less than the 3 MSU benchmark; conversion throughput and initial investment still matter.</x:v>
      </x:c>
    </x:row>
  </x:sheetData>
  <x:pageMargins left="0.7" right="0.7" top="0.75" bottom="0.75" header="0.3" footer="0.3"/>
</x:worksheet>
</file>