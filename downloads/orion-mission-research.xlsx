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986863d72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ad77f718d95430f"/>
    <x:sheet xmlns:r="http://schemas.openxmlformats.org/officeDocument/2006/relationships" name="Mission Data" sheetId="2" r:id="R56f05c9141084f1c"/>
    <x:sheet xmlns:r="http://schemas.openxmlformats.org/officeDocument/2006/relationships" name="How to Use" sheetId="3" r:id="R06e59cceca174b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yyyy-mm-dd"/>
    <x:numFmt numFmtId="202" formatCode="#,##0"/>
    <x:numFmt numFmtId="203" formatCode="#,##0;[Red](#,##0);-"/>
    <x:numFmt numFmtId="204" formatCode="0.00&quot;x&quot;;(0.00&quot;x&quot;);-"/>
    <x:numFmt numFmtId="205" formatCode="0.00x"/>
    <x:numFmt numFmtId="206" formatCode="#,##0.0,,&quot;M&quot;;[Red](#,##0.0,,&quot;M&quot;)"/>
  </x:numFmts>
  <x:fonts count="6">
    <x:font>
      <x:sz val="11"/>
      <x:name val="Carlito"/>
    </x:font>
    <x:font>
      <x:b/>
      <x:sz val="15"/>
      <x:color rgb="FF17365D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3" fontId="4" fillId="3" borderId="0" xfId="0" applyNumberFormat="1" applyFont="1" applyFill="1" applyBorder="1"/>
    <x:xf numFmtId="204" fontId="4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3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/>
    <x:xf numFmtId="206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930b3879f47eb" /><Relationship Type="http://schemas.openxmlformats.org/officeDocument/2006/relationships/theme" Target="/xl/theme/theme1.xml" Id="Re429e50422504fbb" /><Relationship Type="http://schemas.microsoft.com/office/2022/11/relationships/FeaturePropertyBag" Target="/xl/featurePropertyBag/featurePropertyBag.xml" Id="R473823be25a34be0" /><Relationship Type="http://schemas.openxmlformats.org/officeDocument/2006/relationships/sharedStrings" Target="/xl/sharedStrings.xml" Id="R2741108e7699464c" /><Relationship Type="http://schemas.openxmlformats.org/officeDocument/2006/relationships/worksheet" Target="/xl/worksheets/sheet1.xml" Id="Rcad77f718d95430f" /><Relationship Type="http://schemas.openxmlformats.org/officeDocument/2006/relationships/worksheet" Target="/xl/worksheets/sheet2.xml" Id="R56f05c9141084f1c" /><Relationship Type="http://schemas.openxmlformats.org/officeDocument/2006/relationships/worksheet" Target="/xl/worksheets/sheet3.xml" Id="R06e59cceca174b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ssionSamples" displayName="MissionSamples" ref="A1:AB149" headerRowCount="1" totalsRowCount="0" totalsRowShown="0">
  <x:autoFilter ref="A1:AB149"/>
  <x:tableColumns count="28">
    <x:tableColumn id="1" name="Record ID"/>
    <x:tableColumn id="2" name="Observed date"/>
    <x:tableColumn id="3" name="Scan reach (systems)"/>
    <x:tableColumn id="4" name="Source"/>
    <x:tableColumn id="5" name="Mission"/>
    <x:tableColumn id="6" name="Mode"/>
    <x:tableColumn id="7" name="Stars"/>
    <x:tableColumn id="8" name="Level"/>
    <x:tableColumn id="9" name="Mission type"/>
    <x:tableColumn id="10" name="Waves"/>
    <x:tableColumn id="11" name="Duration (minutes)"/>
    <x:tableColumn id="12" name="Mission distance"/>
    <x:tableColumn id="13" name="Reward basis"/>
    <x:tableColumn id="14" name="Metal reward"/>
    <x:tableColumn id="15" name="Crystal reward"/>
    <x:tableColumn id="16" name="Deuterium reward"/>
    <x:tableColumn id="17" name="Lithium reward"/>
    <x:tableColumn id="18" name="Reward is approximate"/>
    <x:tableColumn id="19" name="Claim cost (Lithium)"/>
    <x:tableColumn id="20" name="Claim cost is rounded"/>
    <x:tableColumn id="21" name="Other rewards excluded"/>
    <x:tableColumn id="22" name="Reward (MSU)"/>
    <x:tableColumn id="23" name="Claim cost (MSU)"/>
    <x:tableColumn id="24" name="Benchmark spread (MSU)"/>
    <x:tableColumn id="25" name="Reward / cost"/>
    <x:tableColumn id="26" name="Comparable resource value"/>
    <x:tableColumn id="27" name="Above benchmark?"/>
    <x:tableColumn id="28" name="Claim cost display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80f81adfa440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9" hidden="0" customWidth="1"/>
    <x:col min="9" max="9" width="19" hidden="0" customWidth="1"/>
  </x:cols>
  <x:sheetData>
    <x:row r="1">
      <x:c r="A1" s="1" t="str">
        <x:v>Orion Mission Resource Research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Possible resource rewards have matched collected amounts in completed PTS tests so far. Ratios use 3:2:1 MSU values.</x:v>
      </x:c>
      <x:c r="B2" s="2"/>
      <x:c r="C2" s="2"/>
      <x:c r="D2" s="2"/>
      <x:c r="E2" s="2"/>
      <x:c r="F2" s="2"/>
      <x:c r="G2" s="2"/>
      <x:c r="H2" s="2"/>
      <x:c r="I2" s="2"/>
    </x:row>
    <x:row r="4" ht="34" customHeight="1">
      <x:c r="A4" s="6" t="str">
        <x:v>Scan reach (systems)</x:v>
      </x:c>
      <x:c r="B4" s="6" t="str">
        <x:v>Cards</x:v>
      </x:c>
      <x:c r="C4" s="6" t="str">
        <x:v>Comparable resource cards</x:v>
      </x:c>
      <x:c r="D4" s="6" t="str">
        <x:v>Above benchmark</x:v>
      </x:c>
      <x:c r="E4" s="6" t="str">
        <x:v>Below benchmark</x:v>
      </x:c>
      <x:c r="F4" s="6" t="str">
        <x:v>Lowest return / cost</x:v>
      </x:c>
      <x:c r="G4" s="6" t="str">
        <x:v>Highest return / cost</x:v>
      </x:c>
      <x:c r="H4" s="6" t="str">
        <x:v>Lowest spread (MSU)</x:v>
      </x:c>
      <x:c r="I4" s="6" t="str">
        <x:v>Highest spread (MSU)</x:v>
      </x:c>
    </x:row>
    <x:row r="5">
      <x:c r="A5" s="13" t="n">
        <x:v>10</x:v>
      </x:c>
      <x:c r="B5" s="14" t="n">
        <x:v>39</x:v>
      </x:c>
      <x:c r="C5" s="14" t="n">
        <x:v>37</x:v>
      </x:c>
      <x:c r="D5" s="14" t="n">
        <x:v>34</x:v>
      </x:c>
      <x:c r="E5" s="14" t="n">
        <x:v>3</x:v>
      </x:c>
      <x:c r="F5" s="28" t="n">
        <x:v>0.7220070159785871</x:v>
      </x:c>
      <x:c r="G5" s="28" t="n">
        <x:v>5.649927762383938</x:v>
      </x:c>
      <x:c r="H5" s="29" t="n">
        <x:v>-10282126.5</x:v>
      </x:c>
      <x:c r="I5" s="29" t="n">
        <x:v>299113884</x:v>
      </x:c>
    </x:row>
    <x:row r="6">
      <x:c r="A6" s="13" t="n">
        <x:v>50</x:v>
      </x:c>
      <x:c r="B6" s="14" t="n">
        <x:v>38</x:v>
      </x:c>
      <x:c r="C6" s="14" t="n">
        <x:v>32</x:v>
      </x:c>
      <x:c r="D6" s="14" t="n">
        <x:v>29</x:v>
      </x:c>
      <x:c r="E6" s="14" t="n">
        <x:v>3</x:v>
      </x:c>
      <x:c r="F6" s="28" t="n">
        <x:v>0.46209403984884917</x:v>
      </x:c>
      <x:c r="G6" s="28" t="n">
        <x:v>8.621369147490276</x:v>
      </x:c>
      <x:c r="H6" s="29" t="n">
        <x:v>-18790131</x:v>
      </x:c>
      <x:c r="I6" s="29" t="n">
        <x:v>487851460.5</x:v>
      </x:c>
    </x:row>
    <x:row r="7">
      <x:c r="A7" s="13" t="n">
        <x:v>150</x:v>
      </x:c>
      <x:c r="B7" s="14" t="n">
        <x:v>70</x:v>
      </x:c>
      <x:c r="C7" s="14" t="n">
        <x:v>62</x:v>
      </x:c>
      <x:c r="D7" s="14" t="n">
        <x:v>55</x:v>
      </x:c>
      <x:c r="E7" s="14" t="n">
        <x:v>6</x:v>
      </x:c>
      <x:c r="F7" s="28" t="n">
        <x:v>0.6277453724270694</x:v>
      </x:c>
      <x:c r="G7" s="28" t="n">
        <x:v>9.295034466964388</x:v>
      </x:c>
      <x:c r="H7" s="29" t="n">
        <x:v>-7158899</x:v>
      </x:c>
      <x:c r="I7" s="29" t="n">
        <x:v>474681148.5</x:v>
      </x:c>
    </x:row>
    <x:row r="9">
      <x:c r="A9" s="4" t="str">
        <x:v>Current coverage</x:v>
      </x:c>
      <x:c r="B9" s="4" t="str">
        <x:v>Value</x:v>
      </x:c>
    </x:row>
    <x:row r="10">
      <x:c r="A10" s="9" t="str">
        <x:v>Total records</x:v>
      </x:c>
      <x:c r="B10" s="14" t="n">
        <x:f>COUNTA('Mission Data'!$A$2:$A$1000)</x:f>
        <x:v>148</x:v>
      </x:c>
    </x:row>
    <x:row r="11">
      <x:c r="A11" s="9" t="str">
        <x:v>Possible-reward cards</x:v>
      </x:c>
      <x:c r="B11" s="14" t="n">
        <x:f>COUNTIF('Mission Data'!$M$2:$M$1000,"possible")</x:f>
        <x:v>147</x:v>
      </x:c>
    </x:row>
    <x:row r="12">
      <x:c r="A12" s="9" t="str">
        <x:v>Collected-reward records</x:v>
      </x:c>
      <x:c r="B12" s="14" t="n">
        <x:f>COUNTIF('Mission Data'!$M$2:$M$1000,"collected")</x:f>
        <x:v>1</x:v>
      </x:c>
    </x:row>
    <x:row r="13">
      <x:c r="A13" s="9" t="str">
        <x:v>Unknown scan reach</x:v>
      </x:c>
      <x:c r="B13" s="14" t="n">
        <x:f>COUNTIF('Mission Data'!$C$2:$C$1000,"Unknown")</x:f>
        <x:v>1</x:v>
      </x:c>
    </x:row>
    <x:row r="15">
      <x:c r="A15" s="30" t="str">
        <x:v>Interpretation</x:v>
      </x:c>
    </x:row>
    <x:row r="16" ht="30" customHeight="1">
      <x:c r="A16" s="32" t="str">
        <x:v>Spread = reward MSU − Lithium cost valued at 3 MSU each. This is a comparison benchmark, not actual profit. Scan costs, time, fleet losses, player attacks on PvP missions, and non-resource rewards are excluded.</x:v>
      </x:c>
      <x:c r="B16" s="32"/>
      <x:c r="C16" s="32"/>
      <x:c r="D16" s="32"/>
      <x:c r="E16" s="32"/>
      <x:c r="F16" s="32"/>
      <x:c r="G16" s="32"/>
      <x:c r="H16" s="32"/>
      <x:c r="I16" s="32"/>
    </x:row>
    <x:row r="17" ht="30" customHeight="1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9">
      <x:c r="A19" s="30" t="str">
        <x:v>Lithium sourcing</x:v>
      </x:c>
    </x:row>
    <x:row r="20" ht="30" customHeight="1">
      <x:c r="A20" s="32" t="str">
        <x:v>3 MSU per Lithium is a comparison benchmark. Lithium made from surplus Food after population growth may have little marginal resource cost; conversion throughput and initial investment still matter.</x:v>
      </x:c>
      <x:c r="B20" s="32"/>
      <x:c r="C20" s="32"/>
      <x:c r="D20" s="32"/>
      <x:c r="E20" s="32"/>
      <x:c r="F20" s="32"/>
      <x:c r="G20" s="32"/>
      <x:c r="H20" s="32"/>
      <x:c r="I20" s="32"/>
    </x:row>
    <x:row r="21" ht="30" customHeight="1">
      <x:c r="A21" s="32"/>
      <x:c r="B21" s="32"/>
      <x:c r="C21" s="32"/>
      <x:c r="D21" s="32"/>
      <x:c r="E21" s="32"/>
      <x:c r="F21" s="32"/>
      <x:c r="G21" s="32"/>
      <x:c r="H21" s="32"/>
      <x:c r="I21" s="32"/>
    </x:row>
  </x:sheetData>
  <x:mergeCells>
    <x:mergeCell ref="A16:I17"/>
    <x:mergeCell ref="A20:I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34" hidden="0" customWidth="1"/>
    <x:col min="2" max="2" width="13" hidden="0" customWidth="1"/>
    <x:col min="3" max="3" width="19" hidden="0" customWidth="1"/>
    <x:col min="4" max="4" width="22" hidden="0" customWidth="1"/>
    <x:col min="5" max="5" width="30" hidden="0" customWidth="1"/>
    <x:col min="6" max="6" width="10" hidden="0" customWidth="1"/>
    <x:col min="7" max="7" width="8" hidden="0" customWidth="1"/>
    <x:col min="8" max="8" width="9" hidden="0" customWidth="1"/>
    <x:col min="9" max="9" width="15" hidden="0" customWidth="1"/>
    <x:col min="10" max="10" width="9" hidden="0" customWidth="1"/>
    <x:col min="11" max="11" width="19" hidden="0" customWidth="1"/>
    <x:col min="12" max="12" width="17" hidden="0" customWidth="1"/>
    <x:col min="13" max="13" width="14" hidden="0" customWidth="1"/>
    <x:col min="14" max="14" width="17" hidden="0" customWidth="1"/>
    <x:col min="15" max="15" width="18" hidden="0" customWidth="1"/>
    <x:col min="16" max="16" width="20" hidden="0" customWidth="1"/>
    <x:col min="17" max="17" width="17" hidden="0" customWidth="1"/>
    <x:col min="18" max="18" width="20" hidden="0" customWidth="1"/>
    <x:col min="19" max="19" width="21" hidden="0" customWidth="1"/>
    <x:col min="20" max="20" width="20" hidden="0" customWidth="1"/>
    <x:col min="21" max="21" width="22" hidden="0" customWidth="1"/>
    <x:col min="22" max="22" width="16" hidden="0" customWidth="1"/>
    <x:col min="23" max="23" width="18" hidden="0" customWidth="1"/>
    <x:col min="24" max="24" width="25" hidden="0" customWidth="1"/>
    <x:col min="25" max="25" width="17" hidden="0" customWidth="1"/>
    <x:col min="26" max="26" width="24" hidden="0" customWidth="1"/>
    <x:col min="27" max="27" width="19" hidden="0" customWidth="1"/>
    <x:col min="28" max="28" width="41" hidden="0" customWidth="1"/>
  </x:cols>
  <x:sheetData>
    <x:row r="1" ht="40" customHeight="1">
      <x:c r="A1" s="6" t="str">
        <x:v>Record ID</x:v>
      </x:c>
      <x:c r="B1" s="6" t="str">
        <x:v>Observed date</x:v>
      </x:c>
      <x:c r="C1" s="6" t="str">
        <x:v>Scan reach (systems)</x:v>
      </x:c>
      <x:c r="D1" s="6" t="str">
        <x:v>Source</x:v>
      </x:c>
      <x:c r="E1" s="6" t="str">
        <x:v>Mission</x:v>
      </x:c>
      <x:c r="F1" s="6" t="str">
        <x:v>Mode</x:v>
      </x:c>
      <x:c r="G1" s="6" t="str">
        <x:v>Stars</x:v>
      </x:c>
      <x:c r="H1" s="6" t="str">
        <x:v>Level</x:v>
      </x:c>
      <x:c r="I1" s="6" t="str">
        <x:v>Mission type</x:v>
      </x:c>
      <x:c r="J1" s="6" t="str">
        <x:v>Waves</x:v>
      </x:c>
      <x:c r="K1" s="6" t="str">
        <x:v>Duration (minutes)</x:v>
      </x:c>
      <x:c r="L1" s="6" t="str">
        <x:v>Mission distance</x:v>
      </x:c>
      <x:c r="M1" s="6" t="str">
        <x:v>Reward basis</x:v>
      </x:c>
      <x:c r="N1" s="6" t="str">
        <x:v>Metal reward</x:v>
      </x:c>
      <x:c r="O1" s="6" t="str">
        <x:v>Crystal reward</x:v>
      </x:c>
      <x:c r="P1" s="6" t="str">
        <x:v>Deuterium reward</x:v>
      </x:c>
      <x:c r="Q1" s="6" t="str">
        <x:v>Lithium reward</x:v>
      </x:c>
      <x:c r="R1" s="6" t="str">
        <x:v>Reward is approximate</x:v>
      </x:c>
      <x:c r="S1" s="6" t="str">
        <x:v>Claim cost (Lithium)</x:v>
      </x:c>
      <x:c r="T1" s="6" t="str">
        <x:v>Claim cost is rounded</x:v>
      </x:c>
      <x:c r="U1" s="6" t="str">
        <x:v>Other rewards excluded</x:v>
      </x:c>
      <x:c r="V1" s="6" t="str">
        <x:v>Reward (MSU)</x:v>
      </x:c>
      <x:c r="W1" s="6" t="str">
        <x:v>Claim cost (MSU)</x:v>
      </x:c>
      <x:c r="X1" s="6" t="str">
        <x:v>Benchmark spread (MSU)</x:v>
      </x:c>
      <x:c r="Y1" s="6" t="str">
        <x:v>Reward / cost</x:v>
      </x:c>
      <x:c r="Z1" s="6" t="str">
        <x:v>Comparable resource value</x:v>
      </x:c>
      <x:c r="AA1" s="6" t="str">
        <x:v>Above benchmark?</x:v>
      </x:c>
      <x:c r="AB1" s="6" t="str">
        <x:v>Claim cost display / note</x:v>
      </x:c>
    </x:row>
    <x:row r="2">
      <x:c r="A2" s="20" t="str">
        <x:v>resource-metal-508-pve-5star-150</x:v>
      </x:c>
      <x:c r="B2" s="21" t="d">
        <x:v>2026-10-02T00:00:00.000Z</x:v>
      </x:c>
      <x:c r="C2" s="22" t="n">
        <x:v>150</x:v>
      </x:c>
      <x:c r="D2" s="20" t="str">
        <x:v>PTS scan card</x:v>
      </x:c>
      <x:c r="E2" s="20" t="str">
        <x:v>Resource: Metal</x:v>
      </x:c>
      <x:c r="F2" s="20" t="str">
        <x:v>PvE</x:v>
      </x:c>
      <x:c r="G2" s="23" t="n">
        <x:v>5</x:v>
      </x:c>
      <x:c r="H2" s="23" t="n">
        <x:v>508</x:v>
      </x:c>
      <x:c r="I2" s="23" t="str">
        <x:v>Combat</x:v>
      </x:c>
      <x:c r="J2" s="23" t="n">
        <x:v>7</x:v>
      </x:c>
      <x:c r="K2" s="23" t="n">
        <x:v>196</x:v>
      </x:c>
      <x:c r="L2" s="23" t="n">
        <x:v>8495</x:v>
      </x:c>
      <x:c r="M2" s="20" t="str">
        <x:v>possible</x:v>
      </x:c>
      <x:c r="N2" s="23" t="n">
        <x:v>245945903</x:v>
      </x:c>
      <x:c r="O2" s="23" t="n">
        <x:v>0</x:v>
      </x:c>
      <x:c r="P2" s="23" t="n">
        <x:v>0</x:v>
      </x:c>
      <x:c r="Q2" s="23" t="n">
        <x:v>0</x:v>
      </x:c>
      <x:c r="R2" s="24" t="b">
        <x:v>1</x:v>
      </x:c>
      <x:c r="S2" s="23" t="n">
        <x:v>36155000</x:v>
      </x:c>
      <x:c r="T2" s="24" t="b">
        <x:v>1</x:v>
      </x:c>
      <x:c r="U2" s="24" t="b">
        <x:v>1</x:v>
      </x:c>
      <x:c r="V2" s="25" t="n">
        <x:f>N2+1.5*O2+3*P2+3*Q2</x:f>
        <x:v>245945903</x:v>
      </x:c>
      <x:c r="W2" s="25" t="n">
        <x:f>IF(S2="","",S2*3)</x:f>
        <x:v>108465000</x:v>
      </x:c>
      <x:c r="X2" s="25" t="n">
        <x:f>IF(OR(Z2="No",W2=""),"",V2-W2)</x:f>
        <x:v>137480903</x:v>
      </x:c>
      <x:c r="Y2" s="26" t="n">
        <x:f>IF(OR(Z2="No",W2=""),"",IFERROR(V2/W2,0))</x:f>
        <x:v>2.2675139722491124</x:v>
      </x:c>
      <x:c r="Z2" s="27" t="str">
        <x:f>IF(AND(U2=TRUE,V2=0),"No","Yes")</x:f>
        <x:v>Yes</x:v>
      </x:c>
      <x:c r="AA2" s="27" t="str">
        <x:f>IF(Z2="No","Not comparable",IF(X2="","Unknown cost",IF(X2&gt;0,"Yes","No")))</x:f>
        <x:v>Yes</x:v>
      </x:c>
      <x:c r="AB2" s="20" t="str">
        <x:v>36.155Mn</x:v>
      </x:c>
    </x:row>
    <x:row r="3">
      <x:c r="A3" s="20" t="str">
        <x:v>resource-crystal-436-pve-4star-150</x:v>
      </x:c>
      <x:c r="B3" s="21" t="d">
        <x:v>2026-10-02T00:00:00.000Z</x:v>
      </x:c>
      <x:c r="C3" s="22" t="n">
        <x:v>150</x:v>
      </x:c>
      <x:c r="D3" s="20" t="str">
        <x:v>PTS scan card</x:v>
      </x:c>
      <x:c r="E3" s="20" t="str">
        <x:v>Resource: Crystal</x:v>
      </x:c>
      <x:c r="F3" s="20" t="str">
        <x:v>PvE</x:v>
      </x:c>
      <x:c r="G3" s="23" t="n">
        <x:v>4</x:v>
      </x:c>
      <x:c r="H3" s="23" t="n">
        <x:v>436</x:v>
      </x:c>
      <x:c r="I3" s="23" t="str">
        <x:v>Combat</x:v>
      </x:c>
      <x:c r="J3" s="23" t="n">
        <x:v>9</x:v>
      </x:c>
      <x:c r="K3" s="23" t="n">
        <x:v>261</x:v>
      </x:c>
      <x:c r="L3" s="23" t="n">
        <x:v>7735</x:v>
      </x:c>
      <x:c r="M3" s="20" t="str">
        <x:v>possible</x:v>
      </x:c>
      <x:c r="N3" s="23" t="n">
        <x:v>0</x:v>
      </x:c>
      <x:c r="O3" s="23" t="n">
        <x:v>151587117</x:v>
      </x:c>
      <x:c r="P3" s="23" t="n">
        <x:v>0</x:v>
      </x:c>
      <x:c r="Q3" s="23" t="n">
        <x:v>0</x:v>
      </x:c>
      <x:c r="R3" s="24" t="b">
        <x:v>1</x:v>
      </x:c>
      <x:c r="S3" s="23" t="n">
        <x:v>31918000</x:v>
      </x:c>
      <x:c r="T3" s="24" t="b">
        <x:v>1</x:v>
      </x:c>
      <x:c r="U3" s="24" t="b">
        <x:v>1</x:v>
      </x:c>
      <x:c r="V3" s="25" t="n">
        <x:f>N3+1.5*O3+3*P3+3*Q3</x:f>
        <x:v>227380675.5</x:v>
      </x:c>
      <x:c r="W3" s="25" t="n">
        <x:f>IF(S3="","",S3*3)</x:f>
        <x:v>95754000</x:v>
      </x:c>
      <x:c r="X3" s="25" t="n">
        <x:f>IF(OR(Z3="No",W3=""),"",V3-W3)</x:f>
        <x:v>131626675.5</x:v>
      </x:c>
      <x:c r="Y3" s="26" t="n">
        <x:f>IF(OR(Z3="No",W3=""),"",IFERROR(V3/W3,0))</x:f>
        <x:v>2.37463370198634</x:v>
      </x:c>
      <x:c r="Z3" s="27" t="str">
        <x:f>IF(AND(U3=TRUE,V3=0),"No","Yes")</x:f>
        <x:v>Yes</x:v>
      </x:c>
      <x:c r="AA3" s="27" t="str">
        <x:f>IF(Z3="No","Not comparable",IF(X3="","Unknown cost",IF(X3&gt;0,"Yes","No")))</x:f>
        <x:v>Yes</x:v>
      </x:c>
      <x:c r="AB3" s="20" t="str">
        <x:v>31.918Mn</x:v>
      </x:c>
    </x:row>
    <x:row r="4">
      <x:c r="A4" s="20" t="str">
        <x:v>delivery-metal-595-pvp-2star-150</x:v>
      </x:c>
      <x:c r="B4" s="21" t="d">
        <x:v>2026-10-02T00:00:00.000Z</x:v>
      </x:c>
      <x:c r="C4" s="22" t="n">
        <x:v>150</x:v>
      </x:c>
      <x:c r="D4" s="20" t="str">
        <x:v>PTS scan card</x:v>
      </x:c>
      <x:c r="E4" s="20" t="str">
        <x:v>Delivery: Metal</x:v>
      </x:c>
      <x:c r="F4" s="20" t="str">
        <x:v>PvP</x:v>
      </x:c>
      <x:c r="G4" s="23" t="n">
        <x:v>2</x:v>
      </x:c>
      <x:c r="H4" s="23" t="n">
        <x:v>595</x:v>
      </x:c>
      <x:c r="I4" s="23" t="str">
        <x:v>Delivery</x:v>
      </x:c>
      <x:c r="J4" s="23" t="n">
        <x:v>2</x:v>
      </x:c>
      <x:c r="K4" s="23" t="n">
        <x:v>71</x:v>
      </x:c>
      <x:c r="L4" s="23" t="n">
        <x:v>16380</x:v>
      </x:c>
      <x:c r="M4" s="20" t="str">
        <x:v>possible</x:v>
      </x:c>
      <x:c r="N4" s="23" t="n">
        <x:v>80090670</x:v>
      </x:c>
      <x:c r="O4" s="23" t="n">
        <x:v>0</x:v>
      </x:c>
      <x:c r="P4" s="23" t="n">
        <x:v>0</x:v>
      </x:c>
      <x:c r="Q4" s="23" t="n">
        <x:v>0</x:v>
      </x:c>
      <x:c r="R4" s="24" t="b">
        <x:v>1</x:v>
      </x:c>
      <x:c r="S4" s="23" t="n">
        <x:v>4839000</x:v>
      </x:c>
      <x:c r="T4" s="24" t="b">
        <x:v>1</x:v>
      </x:c>
      <x:c r="U4" s="24" t="b">
        <x:v>1</x:v>
      </x:c>
      <x:c r="V4" s="25" t="n">
        <x:f>N4+1.5*O4+3*P4+3*Q4</x:f>
        <x:v>80090670</x:v>
      </x:c>
      <x:c r="W4" s="25" t="n">
        <x:f>IF(S4="","",S4*3)</x:f>
        <x:v>14517000</x:v>
      </x:c>
      <x:c r="X4" s="25" t="n">
        <x:f>IF(OR(Z4="No",W4=""),"",V4-W4)</x:f>
        <x:v>65573670</x:v>
      </x:c>
      <x:c r="Y4" s="26" t="n">
        <x:f>IF(OR(Z4="No",W4=""),"",IFERROR(V4/W4,0))</x:f>
        <x:v>5.517026245091961</x:v>
      </x:c>
      <x:c r="Z4" s="27" t="str">
        <x:f>IF(AND(U4=TRUE,V4=0),"No","Yes")</x:f>
        <x:v>Yes</x:v>
      </x:c>
      <x:c r="AA4" s="27" t="str">
        <x:f>IF(Z4="No","Not comparable",IF(X4="","Unknown cost",IF(X4&gt;0,"Yes","No")))</x:f>
        <x:v>Yes</x:v>
      </x:c>
      <x:c r="AB4" s="20" t="str">
        <x:v>4.839Mn</x:v>
      </x:c>
    </x:row>
    <x:row r="5">
      <x:c r="A5" s="20" t="str">
        <x:v>alien-encounter-490-pve-2star-150</x:v>
      </x:c>
      <x:c r="B5" s="21" t="d">
        <x:v>2026-10-02T00:00:00.000Z</x:v>
      </x:c>
      <x:c r="C5" s="22" t="n">
        <x:v>150</x:v>
      </x:c>
      <x:c r="D5" s="20" t="str">
        <x:v>PTS scan card</x:v>
      </x:c>
      <x:c r="E5" s="20" t="str">
        <x:v>Alien Encounter</x:v>
      </x:c>
      <x:c r="F5" s="20" t="str">
        <x:v>PvE</x:v>
      </x:c>
      <x:c r="G5" s="23" t="n">
        <x:v>2</x:v>
      </x:c>
      <x:c r="H5" s="23" t="n">
        <x:v>490</x:v>
      </x:c>
      <x:c r="I5" s="23" t="str">
        <x:v>Combat</x:v>
      </x:c>
      <x:c r="J5" s="23" t="n">
        <x:v>8</x:v>
      </x:c>
      <x:c r="K5" s="23" t="n">
        <x:v>214</x:v>
      </x:c>
      <x:c r="L5" s="23" t="n">
        <x:v>4695</x:v>
      </x:c>
      <x:c r="M5" s="20" t="str">
        <x:v>possible</x:v>
      </x:c>
      <x:c r="N5" s="23" t="n">
        <x:v>28648870</x:v>
      </x:c>
      <x:c r="O5" s="23" t="n">
        <x:v>55781783</x:v>
      </x:c>
      <x:c r="P5" s="23" t="n">
        <x:v>16849030</x:v>
      </x:c>
      <x:c r="Q5" s="23" t="n">
        <x:v>0</x:v>
      </x:c>
      <x:c r="R5" s="24" t="b">
        <x:v>1</x:v>
      </x:c>
      <x:c r="S5" s="23" t="n">
        <x:v>15942000</x:v>
      </x:c>
      <x:c r="T5" s="24" t="b">
        <x:v>1</x:v>
      </x:c>
      <x:c r="U5" s="24" t="b">
        <x:v>1</x:v>
      </x:c>
      <x:c r="V5" s="25" t="n">
        <x:f>N5+1.5*O5+3*P5+3*Q5</x:f>
        <x:v>162868634.5</x:v>
      </x:c>
      <x:c r="W5" s="25" t="n">
        <x:f>IF(S5="","",S5*3)</x:f>
        <x:v>47826000</x:v>
      </x:c>
      <x:c r="X5" s="25" t="n">
        <x:f>IF(OR(Z5="No",W5=""),"",V5-W5)</x:f>
        <x:v>115042634.5</x:v>
      </x:c>
      <x:c r="Y5" s="26" t="n">
        <x:f>IF(OR(Z5="No",W5=""),"",IFERROR(V5/W5,0))</x:f>
        <x:v>3.405441276711412</x:v>
      </x:c>
      <x:c r="Z5" s="27" t="str">
        <x:f>IF(AND(U5=TRUE,V5=0),"No","Yes")</x:f>
        <x:v>Yes</x:v>
      </x:c>
      <x:c r="AA5" s="27" t="str">
        <x:f>IF(Z5="No","Not comparable",IF(X5="","Unknown cost",IF(X5&gt;0,"Yes","No")))</x:f>
        <x:v>Yes</x:v>
      </x:c>
      <x:c r="AB5" s="20" t="str">
        <x:v>15.942Mn</x:v>
      </x:c>
    </x:row>
    <x:row r="6">
      <x:c r="A6" s="20" t="str">
        <x:v>medium-alien-encounter-492-pve-1star-150</x:v>
      </x:c>
      <x:c r="B6" s="21" t="d">
        <x:v>2026-10-02T00:00:00.000Z</x:v>
      </x:c>
      <x:c r="C6" s="22" t="n">
        <x:v>150</x:v>
      </x:c>
      <x:c r="D6" s="20" t="str">
        <x:v>PTS scan card</x:v>
      </x:c>
      <x:c r="E6" s="20" t="str">
        <x:v>Medium Alien Encounter</x:v>
      </x:c>
      <x:c r="F6" s="20" t="str">
        <x:v>PvE</x:v>
      </x:c>
      <x:c r="G6" s="23" t="n">
        <x:v>1</x:v>
      </x:c>
      <x:c r="H6" s="23" t="n">
        <x:v>492</x:v>
      </x:c>
      <x:c r="I6" s="23" t="str">
        <x:v>Combat</x:v>
      </x:c>
      <x:c r="J6" s="23" t="n">
        <x:v>3</x:v>
      </x:c>
      <x:c r="K6" s="23" t="n">
        <x:v>86</x:v>
      </x:c>
      <x:c r="L6" s="23" t="n">
        <x:v>14100</x:v>
      </x:c>
      <x:c r="M6" s="20" t="str">
        <x:v>possible</x:v>
      </x:c>
      <x:c r="N6" s="23" t="n">
        <x:v>3164053</x:v>
      </x:c>
      <x:c r="O6" s="23" t="n">
        <x:v>1408562</x:v>
      </x:c>
      <x:c r="P6" s="23" t="n">
        <x:v>5636397</x:v>
      </x:c>
      <x:c r="Q6" s="23" t="n">
        <x:v>0</x:v>
      </x:c>
      <x:c r="R6" s="24" t="b">
        <x:v>1</x:v>
      </x:c>
      <x:c r="S6" s="23" t="n">
        <x:v>3001000</x:v>
      </x:c>
      <x:c r="T6" s="24" t="b">
        <x:v>1</x:v>
      </x:c>
      <x:c r="U6" s="24" t="b">
        <x:v>1</x:v>
      </x:c>
      <x:c r="V6" s="25" t="n">
        <x:f>N6+1.5*O6+3*P6+3*Q6</x:f>
        <x:v>22186087</x:v>
      </x:c>
      <x:c r="W6" s="25" t="n">
        <x:f>IF(S6="","",S6*3)</x:f>
        <x:v>9003000</x:v>
      </x:c>
      <x:c r="X6" s="25" t="n">
        <x:f>IF(OR(Z6="No",W6=""),"",V6-W6)</x:f>
        <x:v>13183087</x:v>
      </x:c>
      <x:c r="Y6" s="26" t="n">
        <x:f>IF(OR(Z6="No",W6=""),"",IFERROR(V6/W6,0))</x:f>
        <x:v>2.4642993446628902</x:v>
      </x:c>
      <x:c r="Z6" s="27" t="str">
        <x:f>IF(AND(U6=TRUE,V6=0),"No","Yes")</x:f>
        <x:v>Yes</x:v>
      </x:c>
      <x:c r="AA6" s="27" t="str">
        <x:f>IF(Z6="No","Not comparable",IF(X6="","Unknown cost",IF(X6&gt;0,"Yes","No")))</x:f>
        <x:v>Yes</x:v>
      </x:c>
      <x:c r="AB6" s="20" t="str">
        <x:v>3.001Mn</x:v>
      </x:c>
    </x:row>
    <x:row r="7">
      <x:c r="A7" s="20" t="str">
        <x:v>lifeform-rescue-404-pve-1star-150</x:v>
      </x:c>
      <x:c r="B7" s="21" t="d">
        <x:v>2026-10-02T00:00:00.000Z</x:v>
      </x:c>
      <x:c r="C7" s="22" t="n">
        <x:v>150</x:v>
      </x:c>
      <x:c r="D7" s="20" t="str">
        <x:v>PTS scan card</x:v>
      </x:c>
      <x:c r="E7" s="20" t="str">
        <x:v>Lifeform Rescue</x:v>
      </x:c>
      <x:c r="F7" s="20" t="str">
        <x:v>PvE</x:v>
      </x:c>
      <x:c r="G7" s="23" t="n">
        <x:v>1</x:v>
      </x:c>
      <x:c r="H7" s="23" t="n">
        <x:v>404</x:v>
      </x:c>
      <x:c r="I7" s="23" t="str">
        <x:v>Combat</x:v>
      </x:c>
      <x:c r="J7" s="23" t="n">
        <x:v>3</x:v>
      </x:c>
      <x:c r="K7" s="23" t="n">
        <x:v>124</x:v>
      </x:c>
      <x:c r="L7" s="23" t="n">
        <x:v>16285</x:v>
      </x:c>
      <x:c r="M7" s="20" t="str">
        <x:v>possible</x:v>
      </x:c>
      <x:c r="N7" s="23" t="n">
        <x:v>2598125</x:v>
      </x:c>
      <x:c r="O7" s="23" t="n">
        <x:v>1156624</x:v>
      </x:c>
      <x:c r="P7" s="23" t="n">
        <x:v>362582</x:v>
      </x:c>
      <x:c r="Q7" s="23" t="n">
        <x:v>0</x:v>
      </x:c>
      <x:c r="R7" s="24" t="b">
        <x:v>1</x:v>
      </x:c>
      <x:c r="S7" s="23" t="n">
        <x:v>2464000</x:v>
      </x:c>
      <x:c r="T7" s="24" t="b">
        <x:v>1</x:v>
      </x:c>
      <x:c r="U7" s="24" t="b">
        <x:v>1</x:v>
      </x:c>
      <x:c r="V7" s="25" t="n">
        <x:f>N7+1.5*O7+3*P7+3*Q7</x:f>
        <x:v>5420807</x:v>
      </x:c>
      <x:c r="W7" s="25" t="n">
        <x:f>IF(S7="","",S7*3)</x:f>
        <x:v>7392000</x:v>
      </x:c>
      <x:c r="X7" s="25" t="n">
        <x:f>IF(OR(Z7="No",W7=""),"",V7-W7)</x:f>
        <x:v>-1971193</x:v>
      </x:c>
      <x:c r="Y7" s="26" t="n">
        <x:f>IF(OR(Z7="No",W7=""),"",IFERROR(V7/W7,0))</x:f>
        <x:v>0.7333342803030303</x:v>
      </x:c>
      <x:c r="Z7" s="27" t="str">
        <x:f>IF(AND(U7=TRUE,V7=0),"No","Yes")</x:f>
        <x:v>Yes</x:v>
      </x:c>
      <x:c r="AA7" s="27" t="str">
        <x:f>IF(Z7="No","Not comparable",IF(X7="","Unknown cost",IF(X7&gt;0,"Yes","No")))</x:f>
        <x:v>No</x:v>
      </x:c>
      <x:c r="AB7" s="20" t="str">
        <x:v>2.464Mn</x:v>
      </x:c>
    </x:row>
    <x:row r="8">
      <x:c r="A8" s="20" t="str">
        <x:v>small-alien-encounter-503-pvp-5star-150</x:v>
      </x:c>
      <x:c r="B8" s="21" t="d">
        <x:v>2026-10-02T00:00:00.000Z</x:v>
      </x:c>
      <x:c r="C8" s="22" t="n">
        <x:v>150</x:v>
      </x:c>
      <x:c r="D8" s="20" t="str">
        <x:v>PTS scan card</x:v>
      </x:c>
      <x:c r="E8" s="20" t="str">
        <x:v>Small Alien Encounter</x:v>
      </x:c>
      <x:c r="F8" s="20" t="str">
        <x:v>PvP</x:v>
      </x:c>
      <x:c r="G8" s="23" t="n">
        <x:v>5</x:v>
      </x:c>
      <x:c r="H8" s="23" t="n">
        <x:v>503</x:v>
      </x:c>
      <x:c r="I8" s="23" t="str">
        <x:v>Combat</x:v>
      </x:c>
      <x:c r="J8" s="23" t="n">
        <x:v>4</x:v>
      </x:c>
      <x:c r="K8" s="23" t="n">
        <x:v>120</x:v>
      </x:c>
      <x:c r="L8" s="23" t="n">
        <x:v>7070</x:v>
      </x:c>
      <x:c r="M8" s="20" t="str">
        <x:v>possible</x:v>
      </x:c>
      <x:c r="N8" s="23" t="n">
        <x:v>162256214</x:v>
      </x:c>
      <x:c r="O8" s="23" t="n">
        <x:v>0</x:v>
      </x:c>
      <x:c r="P8" s="23" t="n">
        <x:v>0</x:v>
      </x:c>
      <x:c r="Q8" s="23" t="n">
        <x:v>0</x:v>
      </x:c>
      <x:c r="R8" s="24" t="b">
        <x:v>1</x:v>
      </x:c>
      <x:c r="S8" s="23" t="n">
        <x:v>20457000</x:v>
      </x:c>
      <x:c r="T8" s="24" t="b">
        <x:v>1</x:v>
      </x:c>
      <x:c r="U8" s="24" t="b">
        <x:v>1</x:v>
      </x:c>
      <x:c r="V8" s="25" t="n">
        <x:f>N8+1.5*O8+3*P8+3*Q8</x:f>
        <x:v>162256214</x:v>
      </x:c>
      <x:c r="W8" s="25" t="n">
        <x:f>IF(S8="","",S8*3)</x:f>
        <x:v>61371000</x:v>
      </x:c>
      <x:c r="X8" s="25" t="n">
        <x:f>IF(OR(Z8="No",W8=""),"",V8-W8)</x:f>
        <x:v>100885214</x:v>
      </x:c>
      <x:c r="Y8" s="26" t="n">
        <x:f>IF(OR(Z8="No",W8=""),"",IFERROR(V8/W8,0))</x:f>
        <x:v>2.6438580762901043</x:v>
      </x:c>
      <x:c r="Z8" s="27" t="str">
        <x:f>IF(AND(U8=TRUE,V8=0),"No","Yes")</x:f>
        <x:v>Yes</x:v>
      </x:c>
      <x:c r="AA8" s="27" t="str">
        <x:f>IF(Z8="No","Not comparable",IF(X8="","Unknown cost",IF(X8&gt;0,"Yes","No")))</x:f>
        <x:v>Yes</x:v>
      </x:c>
      <x:c r="AB8" s="20" t="str">
        <x:v>20.457Mn</x:v>
      </x:c>
    </x:row>
    <x:row r="9">
      <x:c r="A9" s="20" t="str">
        <x:v>chaos-mission-404-pve-5star-150</x:v>
      </x:c>
      <x:c r="B9" s="21" t="d">
        <x:v>2026-10-02T00:00:00.000Z</x:v>
      </x:c>
      <x:c r="C9" s="22" t="n">
        <x:v>150</x:v>
      </x:c>
      <x:c r="D9" s="20" t="str">
        <x:v>PTS scan card</x:v>
      </x:c>
      <x:c r="E9" s="20" t="str">
        <x:v>Chaos Mission</x:v>
      </x:c>
      <x:c r="F9" s="20" t="str">
        <x:v>PvE</x:v>
      </x:c>
      <x:c r="G9" s="23" t="n">
        <x:v>5</x:v>
      </x:c>
      <x:c r="H9" s="23" t="n">
        <x:v>404</x:v>
      </x:c>
      <x:c r="I9" s="23" t="str">
        <x:v>Combat</x:v>
      </x:c>
      <x:c r="J9" s="23" t="n">
        <x:v>4</x:v>
      </x:c>
      <x:c r="K9" s="23" t="n">
        <x:v>127</x:v>
      </x:c>
      <x:c r="L9" s="23" t="n">
        <x:v>4030</x:v>
      </x:c>
      <x:c r="M9" s="20" t="str">
        <x:v>possible</x:v>
      </x:c>
      <x:c r="N9" s="23" t="n">
        <x:v>25453338</x:v>
      </x:c>
      <x:c r="O9" s="23" t="n">
        <x:v>11331227</x:v>
      </x:c>
      <x:c r="P9" s="23" t="n">
        <x:v>33552154</x:v>
      </x:c>
      <x:c r="Q9" s="23" t="n">
        <x:v>22625188</x:v>
      </x:c>
      <x:c r="R9" s="24" t="b">
        <x:v>1</x:v>
      </x:c>
      <x:c r="S9" s="23" t="n">
        <x:v>16430000</x:v>
      </x:c>
      <x:c r="T9" s="24" t="b">
        <x:v>1</x:v>
      </x:c>
      <x:c r="U9" s="24" t="b">
        <x:v>1</x:v>
      </x:c>
      <x:c r="V9" s="25" t="n">
        <x:f>N9+1.5*O9+3*P9+3*Q9</x:f>
        <x:v>210982204.5</x:v>
      </x:c>
      <x:c r="W9" s="25" t="n">
        <x:f>IF(S9="","",S9*3)</x:f>
        <x:v>49290000</x:v>
      </x:c>
      <x:c r="X9" s="25" t="n">
        <x:f>IF(OR(Z9="No",W9=""),"",V9-W9)</x:f>
        <x:v>161692204.5</x:v>
      </x:c>
      <x:c r="Y9" s="26" t="n">
        <x:f>IF(OR(Z9="No",W9=""),"",IFERROR(V9/W9,0))</x:f>
        <x:v>4.280426141205113</x:v>
      </x:c>
      <x:c r="Z9" s="27" t="str">
        <x:f>IF(AND(U9=TRUE,V9=0),"No","Yes")</x:f>
        <x:v>Yes</x:v>
      </x:c>
      <x:c r="AA9" s="27" t="str">
        <x:f>IF(Z9="No","Not comparable",IF(X9="","Unknown cost",IF(X9&gt;0,"Yes","No")))</x:f>
        <x:v>Yes</x:v>
      </x:c>
      <x:c r="AB9" s="20" t="str">
        <x:v>16.43Mn</x:v>
      </x:c>
    </x:row>
    <x:row r="10">
      <x:c r="A10" s="20" t="str">
        <x:v>small-alien-encounter-525-pvp-1star-150</x:v>
      </x:c>
      <x:c r="B10" s="21" t="d">
        <x:v>2026-10-02T00:00:00.000Z</x:v>
      </x:c>
      <x:c r="C10" s="22" t="n">
        <x:v>150</x:v>
      </x:c>
      <x:c r="D10" s="20" t="str">
        <x:v>PTS scan card</x:v>
      </x:c>
      <x:c r="E10" s="20" t="str">
        <x:v>Small Alien Encounter</x:v>
      </x:c>
      <x:c r="F10" s="20" t="str">
        <x:v>PvP</x:v>
      </x:c>
      <x:c r="G10" s="23" t="n">
        <x:v>1</x:v>
      </x:c>
      <x:c r="H10" s="23" t="n">
        <x:v>525</x:v>
      </x:c>
      <x:c r="I10" s="23" t="str">
        <x:v>Combat</x:v>
      </x:c>
      <x:c r="J10" s="23" t="n">
        <x:v>1</x:v>
      </x:c>
      <x:c r="K10" s="23" t="n">
        <x:v>33</x:v>
      </x:c>
      <x:c r="L10" s="23" t="n">
        <x:v>7260</x:v>
      </x:c>
      <x:c r="M10" s="20" t="str">
        <x:v>possible</x:v>
      </x:c>
      <x:c r="N10" s="23" t="n">
        <x:v>10788404</x:v>
      </x:c>
      <x:c r="O10" s="23" t="n">
        <x:v>0</x:v>
      </x:c>
      <x:c r="P10" s="23" t="n">
        <x:v>0</x:v>
      </x:c>
      <x:c r="Q10" s="23" t="n">
        <x:v>0</x:v>
      </x:c>
      <x:c r="R10" s="24" t="b">
        <x:v>1</x:v>
      </x:c>
      <x:c r="S10" s="23" t="n">
        <x:v>1067000</x:v>
      </x:c>
      <x:c r="T10" s="24" t="b">
        <x:v>1</x:v>
      </x:c>
      <x:c r="U10" s="24" t="b">
        <x:v>1</x:v>
      </x:c>
      <x:c r="V10" s="25" t="n">
        <x:f>N10+1.5*O10+3*P10+3*Q10</x:f>
        <x:v>10788404</x:v>
      </x:c>
      <x:c r="W10" s="25" t="n">
        <x:f>IF(S10="","",S10*3)</x:f>
        <x:v>3201000</x:v>
      </x:c>
      <x:c r="X10" s="25" t="n">
        <x:f>IF(OR(Z10="No",W10=""),"",V10-W10)</x:f>
        <x:v>7587404</x:v>
      </x:c>
      <x:c r="Y10" s="26" t="n">
        <x:f>IF(OR(Z10="No",W10=""),"",IFERROR(V10/W10,0))</x:f>
        <x:v>3.370323024054983</x:v>
      </x:c>
      <x:c r="Z10" s="27" t="str">
        <x:f>IF(AND(U10=TRUE,V10=0),"No","Yes")</x:f>
        <x:v>Yes</x:v>
      </x:c>
      <x:c r="AA10" s="27" t="str">
        <x:f>IF(Z10="No","Not comparable",IF(X10="","Unknown cost",IF(X10&gt;0,"Yes","No")))</x:f>
        <x:v>Yes</x:v>
      </x:c>
      <x:c r="AB10" s="20" t="str">
        <x:v>1.067Mn</x:v>
      </x:c>
    </x:row>
    <x:row r="11">
      <x:c r="A11" s="20" t="str">
        <x:v>delivery-crystal-471-pvp-1star-150</x:v>
      </x:c>
      <x:c r="B11" s="21" t="d">
        <x:v>2026-10-02T00:00:00.000Z</x:v>
      </x:c>
      <x:c r="C11" s="22" t="n">
        <x:v>150</x:v>
      </x:c>
      <x:c r="D11" s="20" t="str">
        <x:v>PTS scan card</x:v>
      </x:c>
      <x:c r="E11" s="20" t="str">
        <x:v>Delivery: Crystal</x:v>
      </x:c>
      <x:c r="F11" s="20" t="str">
        <x:v>PvP</x:v>
      </x:c>
      <x:c r="G11" s="23" t="n">
        <x:v>1</x:v>
      </x:c>
      <x:c r="H11" s="23" t="n">
        <x:v>471</x:v>
      </x:c>
      <x:c r="I11" s="23" t="str">
        <x:v>Delivery</x:v>
      </x:c>
      <x:c r="J11" s="23" t="n">
        <x:v>1</x:v>
      </x:c>
      <x:c r="K11" s="23" t="n">
        <x:v>35</x:v>
      </x:c>
      <x:c r="L11" s="23" t="n">
        <x:v>15335</x:v>
      </x:c>
      <x:c r="M11" s="20" t="str">
        <x:v>possible</x:v>
      </x:c>
      <x:c r="N11" s="23" t="n">
        <x:v>0</x:v>
      </x:c>
      <x:c r="O11" s="23" t="n">
        <x:v>10485309</x:v>
      </x:c>
      <x:c r="P11" s="23" t="n">
        <x:v>0</x:v>
      </x:c>
      <x:c r="Q11" s="23" t="n">
        <x:v>0</x:v>
      </x:c>
      <x:c r="R11" s="24" t="b">
        <x:v>1</x:v>
      </x:c>
      <x:c r="S11" s="23" t="n">
        <x:v>957785</x:v>
      </x:c>
      <x:c r="T11" s="24" t="b">
        <x:v>0</x:v>
      </x:c>
      <x:c r="U11" s="24" t="b">
        <x:v>1</x:v>
      </x:c>
      <x:c r="V11" s="25" t="n">
        <x:f>N11+1.5*O11+3*P11+3*Q11</x:f>
        <x:v>15727963.5</x:v>
      </x:c>
      <x:c r="W11" s="25" t="n">
        <x:f>IF(S11="","",S11*3)</x:f>
        <x:v>2873355</x:v>
      </x:c>
      <x:c r="X11" s="25" t="n">
        <x:f>IF(OR(Z11="No",W11=""),"",V11-W11)</x:f>
        <x:v>12854608.5</x:v>
      </x:c>
      <x:c r="Y11" s="26" t="n">
        <x:f>IF(OR(Z11="No",W11=""),"",IFERROR(V11/W11,0))</x:f>
        <x:v>5.473727924325397</x:v>
      </x:c>
      <x:c r="Z11" s="27" t="str">
        <x:f>IF(AND(U11=TRUE,V11=0),"No","Yes")</x:f>
        <x:v>Yes</x:v>
      </x:c>
      <x:c r="AA11" s="27" t="str">
        <x:f>IF(Z11="No","Not comparable",IF(X11="","Unknown cost",IF(X11&gt;0,"Yes","No")))</x:f>
        <x:v>Yes</x:v>
      </x:c>
      <x:c r="AB11" s="20" t="str">
        <x:v>957,785</x:v>
      </x:c>
    </x:row>
    <x:row r="12">
      <x:c r="A12" s="20" t="str">
        <x:v>delivery-crystal-517-pve-4star-150</x:v>
      </x:c>
      <x:c r="B12" s="21" t="d">
        <x:v>2026-10-02T00:00:00.000Z</x:v>
      </x:c>
      <x:c r="C12" s="22" t="n">
        <x:v>150</x:v>
      </x:c>
      <x:c r="D12" s="20" t="str">
        <x:v>PTS scan card</x:v>
      </x:c>
      <x:c r="E12" s="20" t="str">
        <x:v>Delivery: Crystal</x:v>
      </x:c>
      <x:c r="F12" s="20" t="str">
        <x:v>PvE</x:v>
      </x:c>
      <x:c r="G12" s="23" t="n">
        <x:v>4</x:v>
      </x:c>
      <x:c r="H12" s="23" t="n">
        <x:v>517</x:v>
      </x:c>
      <x:c r="I12" s="23" t="str">
        <x:v>Delivery</x:v>
      </x:c>
      <x:c r="J12" s="23" t="n">
        <x:v>4</x:v>
      </x:c>
      <x:c r="K12" s="23" t="n">
        <x:v>139</x:v>
      </x:c>
      <x:c r="L12" s="23" t="n">
        <x:v>11440</x:v>
      </x:c>
      <x:c r="M12" s="20" t="str">
        <x:v>possible</x:v>
      </x:c>
      <x:c r="N12" s="23" t="n">
        <x:v>0</x:v>
      </x:c>
      <x:c r="O12" s="23" t="n">
        <x:v>73118208</x:v>
      </x:c>
      <x:c r="P12" s="23" t="n">
        <x:v>0</x:v>
      </x:c>
      <x:c r="Q12" s="23" t="n">
        <x:v>0</x:v>
      </x:c>
      <x:c r="R12" s="24" t="b">
        <x:v>1</x:v>
      </x:c>
      <x:c r="S12" s="23" t="n">
        <x:v>16821000</x:v>
      </x:c>
      <x:c r="T12" s="24" t="b">
        <x:v>1</x:v>
      </x:c>
      <x:c r="U12" s="24" t="b">
        <x:v>1</x:v>
      </x:c>
      <x:c r="V12" s="25" t="n">
        <x:f>N12+1.5*O12+3*P12+3*Q12</x:f>
        <x:v>109677312</x:v>
      </x:c>
      <x:c r="W12" s="25" t="n">
        <x:f>IF(S12="","",S12*3)</x:f>
        <x:v>50463000</x:v>
      </x:c>
      <x:c r="X12" s="25" t="n">
        <x:f>IF(OR(Z12="No",W12=""),"",V12-W12)</x:f>
        <x:v>59214312</x:v>
      </x:c>
      <x:c r="Y12" s="26" t="n">
        <x:f>IF(OR(Z12="No",W12=""),"",IFERROR(V12/W12,0))</x:f>
        <x:v>2.1734203673978953</x:v>
      </x:c>
      <x:c r="Z12" s="27" t="str">
        <x:f>IF(AND(U12=TRUE,V12=0),"No","Yes")</x:f>
        <x:v>Yes</x:v>
      </x:c>
      <x:c r="AA12" s="27" t="str">
        <x:f>IF(Z12="No","Not comparable",IF(X12="","Unknown cost",IF(X12&gt;0,"Yes","No")))</x:f>
        <x:v>Yes</x:v>
      </x:c>
      <x:c r="AB12" s="20" t="str">
        <x:v>16.821Mn</x:v>
      </x:c>
    </x:row>
    <x:row r="13">
      <x:c r="A13" s="20" t="str">
        <x:v>delivery-metal-502-pvp-3star-150</x:v>
      </x:c>
      <x:c r="B13" s="21" t="d">
        <x:v>2026-10-02T00:00:00.000Z</x:v>
      </x:c>
      <x:c r="C13" s="22" t="n">
        <x:v>150</x:v>
      </x:c>
      <x:c r="D13" s="20" t="str">
        <x:v>PTS scan card</x:v>
      </x:c>
      <x:c r="E13" s="20" t="str">
        <x:v>Delivery: Metal</x:v>
      </x:c>
      <x:c r="F13" s="20" t="str">
        <x:v>PvP</x:v>
      </x:c>
      <x:c r="G13" s="23" t="n">
        <x:v>3</x:v>
      </x:c>
      <x:c r="H13" s="23" t="n">
        <x:v>502</x:v>
      </x:c>
      <x:c r="I13" s="23" t="str">
        <x:v>Delivery</x:v>
      </x:c>
      <x:c r="J13" s="23" t="n">
        <x:v>4</x:v>
      </x:c>
      <x:c r="K13" s="23" t="n">
        <x:v>151</x:v>
      </x:c>
      <x:c r="L13" s="23" t="n">
        <x:v>15335</x:v>
      </x:c>
      <x:c r="M13" s="20" t="str">
        <x:v>possible</x:v>
      </x:c>
      <x:c r="N13" s="23" t="n">
        <x:v>210513696</x:v>
      </x:c>
      <x:c r="O13" s="23" t="n">
        <x:v>0</x:v>
      </x:c>
      <x:c r="P13" s="23" t="n">
        <x:v>0</x:v>
      </x:c>
      <x:c r="Q13" s="23" t="n">
        <x:v>0</x:v>
      </x:c>
      <x:c r="R13" s="24" t="b">
        <x:v>1</x:v>
      </x:c>
      <x:c r="S13" s="23" t="n">
        <x:v>12249000</x:v>
      </x:c>
      <x:c r="T13" s="24" t="b">
        <x:v>1</x:v>
      </x:c>
      <x:c r="U13" s="24" t="b">
        <x:v>1</x:v>
      </x:c>
      <x:c r="V13" s="25" t="n">
        <x:f>N13+1.5*O13+3*P13+3*Q13</x:f>
        <x:v>210513696</x:v>
      </x:c>
      <x:c r="W13" s="25" t="n">
        <x:f>IF(S13="","",S13*3)</x:f>
        <x:v>36747000</x:v>
      </x:c>
      <x:c r="X13" s="25" t="n">
        <x:f>IF(OR(Z13="No",W13=""),"",V13-W13)</x:f>
        <x:v>173766696</x:v>
      </x:c>
      <x:c r="Y13" s="26" t="n">
        <x:f>IF(OR(Z13="No",W13=""),"",IFERROR(V13/W13,0))</x:f>
        <x:v>5.728731488284758</x:v>
      </x:c>
      <x:c r="Z13" s="27" t="str">
        <x:f>IF(AND(U13=TRUE,V13=0),"No","Yes")</x:f>
        <x:v>Yes</x:v>
      </x:c>
      <x:c r="AA13" s="27" t="str">
        <x:f>IF(Z13="No","Not comparable",IF(X13="","Unknown cost",IF(X13&gt;0,"Yes","No")))</x:f>
        <x:v>Yes</x:v>
      </x:c>
      <x:c r="AB13" s="20" t="str">
        <x:v>12.249Mn</x:v>
      </x:c>
    </x:row>
    <x:row r="14">
      <x:c r="A14" s="20" t="str">
        <x:v>defend-446-pvp-5star-150</x:v>
      </x:c>
      <x:c r="B14" s="21" t="d">
        <x:v>2026-10-02T00:00:00.000Z</x:v>
      </x:c>
      <x:c r="C14" s="22" t="n">
        <x:v>150</x:v>
      </x:c>
      <x:c r="D14" s="20" t="str">
        <x:v>PTS scan card</x:v>
      </x:c>
      <x:c r="E14" s="20" t="str">
        <x:v>Defend</x:v>
      </x:c>
      <x:c r="F14" s="20" t="str">
        <x:v>PvP</x:v>
      </x:c>
      <x:c r="G14" s="23" t="n">
        <x:v>5</x:v>
      </x:c>
      <x:c r="H14" s="23" t="n">
        <x:v>446</x:v>
      </x:c>
      <x:c r="I14" s="23" t="str">
        <x:v>Combat</x:v>
      </x:c>
      <x:c r="J14" s="23" t="n">
        <x:v>8</x:v>
      </x:c>
      <x:c r="K14" s="23" t="n">
        <x:v>179</x:v>
      </x:c>
      <x:c r="L14" s="23" t="n">
        <x:v>14575</x:v>
      </x:c>
      <x:c r="M14" s="20" t="str">
        <x:v>possible</x:v>
      </x:c>
      <x:c r="N14" s="23" t="n">
        <x:v>173842110</x:v>
      </x:c>
      <x:c r="O14" s="23" t="n">
        <x:v>77390415</x:v>
      </x:c>
      <x:c r="P14" s="23" t="n">
        <x:v>24260631</x:v>
      </x:c>
      <x:c r="Q14" s="23" t="n">
        <x:v>0</x:v>
      </x:c>
      <x:c r="R14" s="24" t="b">
        <x:v>1</x:v>
      </x:c>
      <x:c r="S14" s="23" t="n">
        <x:v>36277000</x:v>
      </x:c>
      <x:c r="T14" s="24" t="b">
        <x:v>1</x:v>
      </x:c>
      <x:c r="U14" s="24" t="b">
        <x:v>1</x:v>
      </x:c>
      <x:c r="V14" s="25" t="n">
        <x:f>N14+1.5*O14+3*P14+3*Q14</x:f>
        <x:v>362709625.5</x:v>
      </x:c>
      <x:c r="W14" s="25" t="n">
        <x:f>IF(S14="","",S14*3)</x:f>
        <x:v>108831000</x:v>
      </x:c>
      <x:c r="X14" s="25" t="n">
        <x:f>IF(OR(Z14="No",W14=""),"",V14-W14)</x:f>
        <x:v>253878625.5</x:v>
      </x:c>
      <x:c r="Y14" s="26" t="n">
        <x:f>IF(OR(Z14="No",W14=""),"",IFERROR(V14/W14,0))</x:f>
        <x:v>3.3327785787137856</x:v>
      </x:c>
      <x:c r="Z14" s="27" t="str">
        <x:f>IF(AND(U14=TRUE,V14=0),"No","Yes")</x:f>
        <x:v>Yes</x:v>
      </x:c>
      <x:c r="AA14" s="27" t="str">
        <x:f>IF(Z14="No","Not comparable",IF(X14="","Unknown cost",IF(X14&gt;0,"Yes","No")))</x:f>
        <x:v>Yes</x:v>
      </x:c>
      <x:c r="AB14" s="20" t="str">
        <x:v>36.277Mn</x:v>
      </x:c>
    </x:row>
    <x:row r="15">
      <x:c r="A15" s="20" t="str">
        <x:v>resource-crystal-543-pvp-4star-150</x:v>
      </x:c>
      <x:c r="B15" s="21" t="d">
        <x:v>2026-10-02T00:00:00.000Z</x:v>
      </x:c>
      <x:c r="C15" s="22" t="n">
        <x:v>150</x:v>
      </x:c>
      <x:c r="D15" s="20" t="str">
        <x:v>PTS scan card</x:v>
      </x:c>
      <x:c r="E15" s="20" t="str">
        <x:v>Resource: Crystal</x:v>
      </x:c>
      <x:c r="F15" s="20" t="str">
        <x:v>PvP</x:v>
      </x:c>
      <x:c r="G15" s="23" t="n">
        <x:v>4</x:v>
      </x:c>
      <x:c r="H15" s="23" t="n">
        <x:v>543</x:v>
      </x:c>
      <x:c r="I15" s="23" t="str">
        <x:v>Combat</x:v>
      </x:c>
      <x:c r="J15" s="23" t="n">
        <x:v>7</x:v>
      </x:c>
      <x:c r="K15" s="23" t="n">
        <x:v>190</x:v>
      </x:c>
      <x:c r="L15" s="23" t="n">
        <x:v>11440</x:v>
      </x:c>
      <x:c r="M15" s="20" t="str">
        <x:v>possible</x:v>
      </x:c>
      <x:c r="N15" s="23" t="n">
        <x:v>0</x:v>
      </x:c>
      <x:c r="O15" s="23" t="n">
        <x:v>378288099</x:v>
      </x:c>
      <x:c r="P15" s="23" t="n">
        <x:v>0</x:v>
      </x:c>
      <x:c r="Q15" s="23" t="n">
        <x:v>0</x:v>
      </x:c>
      <x:c r="R15" s="24" t="b">
        <x:v>1</x:v>
      </x:c>
      <x:c r="S15" s="23" t="n">
        <x:v>30917000</x:v>
      </x:c>
      <x:c r="T15" s="24" t="b">
        <x:v>1</x:v>
      </x:c>
      <x:c r="U15" s="24" t="b">
        <x:v>1</x:v>
      </x:c>
      <x:c r="V15" s="25" t="n">
        <x:f>N15+1.5*O15+3*P15+3*Q15</x:f>
        <x:v>567432148.5</x:v>
      </x:c>
      <x:c r="W15" s="25" t="n">
        <x:f>IF(S15="","",S15*3)</x:f>
        <x:v>92751000</x:v>
      </x:c>
      <x:c r="X15" s="25" t="n">
        <x:f>IF(OR(Z15="No",W15=""),"",V15-W15)</x:f>
        <x:v>474681148.5</x:v>
      </x:c>
      <x:c r="Y15" s="26" t="n">
        <x:f>IF(OR(Z15="No",W15=""),"",IFERROR(V15/W15,0))</x:f>
        <x:v>6.117800870071481</x:v>
      </x:c>
      <x:c r="Z15" s="27" t="str">
        <x:f>IF(AND(U15=TRUE,V15=0),"No","Yes")</x:f>
        <x:v>Yes</x:v>
      </x:c>
      <x:c r="AA15" s="27" t="str">
        <x:f>IF(Z15="No","Not comparable",IF(X15="","Unknown cost",IF(X15&gt;0,"Yes","No")))</x:f>
        <x:v>Yes</x:v>
      </x:c>
      <x:c r="AB15" s="20" t="str">
        <x:v>30.917Mn</x:v>
      </x:c>
    </x:row>
    <x:row r="16">
      <x:c r="A16" s="20" t="str">
        <x:v>small-alien-encounter-419-pvp-1star-150</x:v>
      </x:c>
      <x:c r="B16" s="21" t="d">
        <x:v>2026-10-02T00:00:00.000Z</x:v>
      </x:c>
      <x:c r="C16" s="22" t="n">
        <x:v>150</x:v>
      </x:c>
      <x:c r="D16" s="20" t="str">
        <x:v>PTS scan card</x:v>
      </x:c>
      <x:c r="E16" s="20" t="str">
        <x:v>Small Alien Encounter</x:v>
      </x:c>
      <x:c r="F16" s="20" t="str">
        <x:v>PvP</x:v>
      </x:c>
      <x:c r="G16" s="23" t="n">
        <x:v>1</x:v>
      </x:c>
      <x:c r="H16" s="23" t="n">
        <x:v>419</x:v>
      </x:c>
      <x:c r="I16" s="23" t="str">
        <x:v>Combat</x:v>
      </x:c>
      <x:c r="J16" s="23" t="n">
        <x:v>1</x:v>
      </x:c>
      <x:c r="K16" s="23" t="n">
        <x:v>31</x:v>
      </x:c>
      <x:c r="L16" s="23" t="n">
        <x:v>13720</x:v>
      </x:c>
      <x:c r="M16" s="20" t="str">
        <x:v>possible</x:v>
      </x:c>
      <x:c r="N16" s="23" t="n">
        <x:v>0</x:v>
      </x:c>
      <x:c r="O16" s="23" t="n">
        <x:v>0</x:v>
      </x:c>
      <x:c r="P16" s="23" t="n">
        <x:v>0</x:v>
      </x:c>
      <x:c r="Q16" s="23" t="n">
        <x:v>0</x:v>
      </x:c>
      <x:c r="R16" s="24" t="b">
        <x:v>0</x:v>
      </x:c>
      <x:c r="S16" s="23" t="n">
        <x:v>852042</x:v>
      </x:c>
      <x:c r="T16" s="24" t="b">
        <x:v>0</x:v>
      </x:c>
      <x:c r="U16" s="24" t="b">
        <x:v>1</x:v>
      </x:c>
      <x:c r="V16" s="25" t="n">
        <x:f>N16+1.5*O16+3*P16+3*Q16</x:f>
        <x:v>0</x:v>
      </x:c>
      <x:c r="W16" s="25" t="n">
        <x:f>IF(S16="","",S16*3)</x:f>
        <x:v>2556126</x:v>
      </x:c>
      <x:c r="X16" s="25" t="str">
        <x:f>IF(OR(Z16="No",W16=""),"",V16-W16)</x:f>
      </x:c>
      <x:c r="Y16" s="26" t="str">
        <x:f>IF(OR(Z16="No",W16=""),"",IFERROR(V16/W16,0))</x:f>
      </x:c>
      <x:c r="Z16" s="27" t="str">
        <x:f>IF(AND(U16=TRUE,V16=0),"No","Yes")</x:f>
        <x:v>No</x:v>
      </x:c>
      <x:c r="AA16" s="27" t="str">
        <x:f>IF(Z16="No","Not comparable",IF(X16="","Unknown cost",IF(X16&gt;0,"Yes","No")))</x:f>
        <x:v>Not comparable</x:v>
      </x:c>
      <x:c r="AB16" s="20" t="str">
        <x:v>852,042</x:v>
      </x:c>
    </x:row>
    <x:row r="17">
      <x:c r="A17" s="20" t="str">
        <x:v>small-alien-encounter-557-pve-2star-150</x:v>
      </x:c>
      <x:c r="B17" s="21" t="d">
        <x:v>2026-10-02T00:00:00.000Z</x:v>
      </x:c>
      <x:c r="C17" s="22" t="n">
        <x:v>150</x:v>
      </x:c>
      <x:c r="D17" s="20" t="str">
        <x:v>PTS scan card</x:v>
      </x:c>
      <x:c r="E17" s="20" t="str">
        <x:v>Small Alien Encounter</x:v>
      </x:c>
      <x:c r="F17" s="20" t="str">
        <x:v>PvE</x:v>
      </x:c>
      <x:c r="G17" s="23" t="n">
        <x:v>2</x:v>
      </x:c>
      <x:c r="H17" s="23" t="n">
        <x:v>557</x:v>
      </x:c>
      <x:c r="I17" s="23" t="str">
        <x:v>Combat</x:v>
      </x:c>
      <x:c r="J17" s="23" t="n">
        <x:v>3</x:v>
      </x:c>
      <x:c r="K17" s="23" t="n">
        <x:v>91</x:v>
      </x:c>
      <x:c r="L17" s="23" t="n">
        <x:v>12485</x:v>
      </x:c>
      <x:c r="M17" s="20" t="str">
        <x:v>possible</x:v>
      </x:c>
      <x:c r="N17" s="23" t="n">
        <x:v>13226101</x:v>
      </x:c>
      <x:c r="O17" s="23" t="n">
        <x:v>0</x:v>
      </x:c>
      <x:c r="P17" s="23" t="n">
        <x:v>0</x:v>
      </x:c>
      <x:c r="Q17" s="23" t="n">
        <x:v>0</x:v>
      </x:c>
      <x:c r="R17" s="24" t="b">
        <x:v>1</x:v>
      </x:c>
      <x:c r="S17" s="23" t="n">
        <x:v>6795000</x:v>
      </x:c>
      <x:c r="T17" s="24" t="b">
        <x:v>1</x:v>
      </x:c>
      <x:c r="U17" s="24" t="b">
        <x:v>1</x:v>
      </x:c>
      <x:c r="V17" s="25" t="n">
        <x:f>N17+1.5*O17+3*P17+3*Q17</x:f>
        <x:v>13226101</x:v>
      </x:c>
      <x:c r="W17" s="25" t="n">
        <x:f>IF(S17="","",S17*3)</x:f>
        <x:v>20385000</x:v>
      </x:c>
      <x:c r="X17" s="25" t="n">
        <x:f>IF(OR(Z17="No",W17=""),"",V17-W17)</x:f>
        <x:v>-7158899</x:v>
      </x:c>
      <x:c r="Y17" s="26" t="n">
        <x:f>IF(OR(Z17="No",W17=""),"",IFERROR(V17/W17,0))</x:f>
        <x:v>0.648815354427275</x:v>
      </x:c>
      <x:c r="Z17" s="27" t="str">
        <x:f>IF(AND(U17=TRUE,V17=0),"No","Yes")</x:f>
        <x:v>Yes</x:v>
      </x:c>
      <x:c r="AA17" s="27" t="str">
        <x:f>IF(Z17="No","Not comparable",IF(X17="","Unknown cost",IF(X17&gt;0,"Yes","No")))</x:f>
        <x:v>No</x:v>
      </x:c>
      <x:c r="AB17" s="20" t="str">
        <x:v>6.795Mn</x:v>
      </x:c>
    </x:row>
    <x:row r="18">
      <x:c r="A18" s="20" t="str">
        <x:v>rescue-540-pvp-3star-150</x:v>
      </x:c>
      <x:c r="B18" s="21" t="d">
        <x:v>2026-10-02T00:00:00.000Z</x:v>
      </x:c>
      <x:c r="C18" s="22" t="n">
        <x:v>150</x:v>
      </x:c>
      <x:c r="D18" s="20" t="str">
        <x:v>PTS scan card</x:v>
      </x:c>
      <x:c r="E18" s="20" t="str">
        <x:v>Rescue</x:v>
      </x:c>
      <x:c r="F18" s="20" t="str">
        <x:v>PvP</x:v>
      </x:c>
      <x:c r="G18" s="23" t="n">
        <x:v>3</x:v>
      </x:c>
      <x:c r="H18" s="23" t="n">
        <x:v>540</x:v>
      </x:c>
      <x:c r="I18" s="23" t="str">
        <x:v>Combat</x:v>
      </x:c>
      <x:c r="J18" s="23" t="n">
        <x:v>4</x:v>
      </x:c>
      <x:c r="K18" s="23" t="n">
        <x:v>109</x:v>
      </x:c>
      <x:c r="L18" s="23" t="n">
        <x:v>3460</x:v>
      </x:c>
      <x:c r="M18" s="20" t="str">
        <x:v>possible</x:v>
      </x:c>
      <x:c r="N18" s="23" t="n">
        <x:v>32660918</x:v>
      </x:c>
      <x:c r="O18" s="23" t="n">
        <x:v>14539718</x:v>
      </x:c>
      <x:c r="P18" s="23" t="n">
        <x:v>4558012</x:v>
      </x:c>
      <x:c r="Q18" s="23" t="n">
        <x:v>0</x:v>
      </x:c>
      <x:c r="R18" s="24" t="b">
        <x:v>1</x:v>
      </x:c>
      <x:c r="S18" s="23" t="n">
        <x:v>13177000</x:v>
      </x:c>
      <x:c r="T18" s="24" t="b">
        <x:v>1</x:v>
      </x:c>
      <x:c r="U18" s="24" t="b">
        <x:v>1</x:v>
      </x:c>
      <x:c r="V18" s="25" t="n">
        <x:f>N18+1.5*O18+3*P18+3*Q18</x:f>
        <x:v>68144531</x:v>
      </x:c>
      <x:c r="W18" s="25" t="n">
        <x:f>IF(S18="","",S18*3)</x:f>
        <x:v>39531000</x:v>
      </x:c>
      <x:c r="X18" s="25" t="n">
        <x:f>IF(OR(Z18="No",W18=""),"",V18-W18)</x:f>
        <x:v>28613531</x:v>
      </x:c>
      <x:c r="Y18" s="26" t="n">
        <x:f>IF(OR(Z18="No",W18=""),"",IFERROR(V18/W18,0))</x:f>
        <x:v>1.723825124585768</x:v>
      </x:c>
      <x:c r="Z18" s="27" t="str">
        <x:f>IF(AND(U18=TRUE,V18=0),"No","Yes")</x:f>
        <x:v>Yes</x:v>
      </x:c>
      <x:c r="AA18" s="27" t="str">
        <x:f>IF(Z18="No","Not comparable",IF(X18="","Unknown cost",IF(X18&gt;0,"Yes","No")))</x:f>
        <x:v>Yes</x:v>
      </x:c>
      <x:c r="AB18" s="20" t="str">
        <x:v>13.177Mn</x:v>
      </x:c>
    </x:row>
    <x:row r="19">
      <x:c r="A19" s="20" t="str">
        <x:v>delivery-crystal-505-pve-5star-150</x:v>
      </x:c>
      <x:c r="B19" s="21" t="d">
        <x:v>2026-10-02T00:00:00.000Z</x:v>
      </x:c>
      <x:c r="C19" s="22" t="n">
        <x:v>150</x:v>
      </x:c>
      <x:c r="D19" s="20" t="str">
        <x:v>PTS scan card</x:v>
      </x:c>
      <x:c r="E19" s="20" t="str">
        <x:v>Delivery: Crystal</x:v>
      </x:c>
      <x:c r="F19" s="20" t="str">
        <x:v>PvE</x:v>
      </x:c>
      <x:c r="G19" s="23" t="n">
        <x:v>5</x:v>
      </x:c>
      <x:c r="H19" s="23" t="n">
        <x:v>505</x:v>
      </x:c>
      <x:c r="I19" s="23" t="str">
        <x:v>Delivery</x:v>
      </x:c>
      <x:c r="J19" s="23" t="n">
        <x:v>6</x:v>
      </x:c>
      <x:c r="K19" s="23" t="n">
        <x:v>213</x:v>
      </x:c>
      <x:c r="L19" s="23" t="n">
        <x:v>3365</x:v>
      </x:c>
      <x:c r="M19" s="20" t="str">
        <x:v>possible</x:v>
      </x:c>
      <x:c r="N19" s="23" t="n">
        <x:v>0</x:v>
      </x:c>
      <x:c r="O19" s="23" t="n">
        <x:v>138874296</x:v>
      </x:c>
      <x:c r="P19" s="23" t="n">
        <x:v>0</x:v>
      </x:c>
      <x:c r="Q19" s="23" t="n">
        <x:v>0</x:v>
      </x:c>
      <x:c r="R19" s="24" t="b">
        <x:v>1</x:v>
      </x:c>
      <x:c r="S19" s="23" t="n">
        <x:v>30807000</x:v>
      </x:c>
      <x:c r="T19" s="24" t="b">
        <x:v>1</x:v>
      </x:c>
      <x:c r="U19" s="24" t="b">
        <x:v>1</x:v>
      </x:c>
      <x:c r="V19" s="25" t="n">
        <x:f>N19+1.5*O19+3*P19+3*Q19</x:f>
        <x:v>208311444</x:v>
      </x:c>
      <x:c r="W19" s="25" t="n">
        <x:f>IF(S19="","",S19*3)</x:f>
        <x:v>92421000</x:v>
      </x:c>
      <x:c r="X19" s="25" t="n">
        <x:f>IF(OR(Z19="No",W19=""),"",V19-W19)</x:f>
        <x:v>115890444</x:v>
      </x:c>
      <x:c r="Y19" s="26" t="n">
        <x:f>IF(OR(Z19="No",W19=""),"",IFERROR(V19/W19,0))</x:f>
        <x:v>2.253940597916058</x:v>
      </x:c>
      <x:c r="Z19" s="27" t="str">
        <x:f>IF(AND(U19=TRUE,V19=0),"No","Yes")</x:f>
        <x:v>Yes</x:v>
      </x:c>
      <x:c r="AA19" s="27" t="str">
        <x:f>IF(Z19="No","Not comparable",IF(X19="","Unknown cost",IF(X19&gt;0,"Yes","No")))</x:f>
        <x:v>Yes</x:v>
      </x:c>
      <x:c r="AB19" s="20" t="str">
        <x:v>30.807Mn</x:v>
      </x:c>
    </x:row>
    <x:row r="20">
      <x:c r="A20" s="20" t="str">
        <x:v>delivery-metal-430-pve-3star-150</x:v>
      </x:c>
      <x:c r="B20" s="21" t="d">
        <x:v>2026-10-02T00:00:00.000Z</x:v>
      </x:c>
      <x:c r="C20" s="22" t="n">
        <x:v>150</x:v>
      </x:c>
      <x:c r="D20" s="20" t="str">
        <x:v>PTS scan card</x:v>
      </x:c>
      <x:c r="E20" s="20" t="str">
        <x:v>Delivery: Metal</x:v>
      </x:c>
      <x:c r="F20" s="20" t="str">
        <x:v>PvE</x:v>
      </x:c>
      <x:c r="G20" s="23" t="n">
        <x:v>3</x:v>
      </x:c>
      <x:c r="H20" s="23" t="n">
        <x:v>430</x:v>
      </x:c>
      <x:c r="I20" s="23" t="str">
        <x:v>Delivery</x:v>
      </x:c>
      <x:c r="J20" s="23" t="n">
        <x:v>4</x:v>
      </x:c>
      <x:c r="K20" s="23" t="n">
        <x:v>161</x:v>
      </x:c>
      <x:c r="L20" s="23" t="n">
        <x:v>3365</x:v>
      </x:c>
      <x:c r="M20" s="20" t="str">
        <x:v>possible</x:v>
      </x:c>
      <x:c r="N20" s="23" t="n">
        <x:v>67620204</x:v>
      </x:c>
      <x:c r="O20" s="23" t="n">
        <x:v>0</x:v>
      </x:c>
      <x:c r="P20" s="23" t="n">
        <x:v>0</x:v>
      </x:c>
      <x:c r="Q20" s="23" t="n">
        <x:v>0</x:v>
      </x:c>
      <x:c r="R20" s="24" t="b">
        <x:v>1</x:v>
      </x:c>
      <x:c r="S20" s="23" t="n">
        <x:v>10492000</x:v>
      </x:c>
      <x:c r="T20" s="24" t="b">
        <x:v>1</x:v>
      </x:c>
      <x:c r="U20" s="24" t="b">
        <x:v>1</x:v>
      </x:c>
      <x:c r="V20" s="25" t="n">
        <x:f>N20+1.5*O20+3*P20+3*Q20</x:f>
        <x:v>67620204</x:v>
      </x:c>
      <x:c r="W20" s="25" t="n">
        <x:f>IF(S20="","",S20*3)</x:f>
        <x:v>31476000</x:v>
      </x:c>
      <x:c r="X20" s="25" t="n">
        <x:f>IF(OR(Z20="No",W20=""),"",V20-W20)</x:f>
        <x:v>36144204</x:v>
      </x:c>
      <x:c r="Y20" s="26" t="n">
        <x:f>IF(OR(Z20="No",W20=""),"",IFERROR(V20/W20,0))</x:f>
        <x:v>2.148309950438429</x:v>
      </x:c>
      <x:c r="Z20" s="27" t="str">
        <x:f>IF(AND(U20=TRUE,V20=0),"No","Yes")</x:f>
        <x:v>Yes</x:v>
      </x:c>
      <x:c r="AA20" s="27" t="str">
        <x:f>IF(Z20="No","Not comparable",IF(X20="","Unknown cost",IF(X20&gt;0,"Yes","No")))</x:f>
        <x:v>Yes</x:v>
      </x:c>
      <x:c r="AB20" s="20" t="str">
        <x:v>10.492Mn</x:v>
      </x:c>
    </x:row>
    <x:row r="21">
      <x:c r="A21" s="20" t="str">
        <x:v>lifeform-rescue-564-pve-5star-150</x:v>
      </x:c>
      <x:c r="B21" s="21" t="d">
        <x:v>2026-10-02T00:00:00.000Z</x:v>
      </x:c>
      <x:c r="C21" s="22" t="n">
        <x:v>150</x:v>
      </x:c>
      <x:c r="D21" s="20" t="str">
        <x:v>PTS scan card</x:v>
      </x:c>
      <x:c r="E21" s="20" t="str">
        <x:v>Lifeform Rescue</x:v>
      </x:c>
      <x:c r="F21" s="20" t="str">
        <x:v>PvE</x:v>
      </x:c>
      <x:c r="G21" s="23" t="n">
        <x:v>5</x:v>
      </x:c>
      <x:c r="H21" s="23" t="n">
        <x:v>564</x:v>
      </x:c>
      <x:c r="I21" s="23" t="str">
        <x:v>Combat</x:v>
      </x:c>
      <x:c r="J21" s="23" t="n">
        <x:v>2</x:v>
      </x:c>
      <x:c r="K21" s="23" t="n">
        <x:v>77</x:v>
      </x:c>
      <x:c r="L21" s="23" t="n">
        <x:v>4980</x:v>
      </x:c>
      <x:c r="M21" s="20" t="str">
        <x:v>possible</x:v>
      </x:c>
      <x:c r="N21" s="23" t="n">
        <x:v>0</x:v>
      </x:c>
      <x:c r="O21" s="23" t="n">
        <x:v>0</x:v>
      </x:c>
      <x:c r="P21" s="23" t="n">
        <x:v>0</x:v>
      </x:c>
      <x:c r="Q21" s="23" t="n">
        <x:v>0</x:v>
      </x:c>
      <x:c r="R21" s="24" t="b">
        <x:v>0</x:v>
      </x:c>
      <x:c r="S21" s="23" t="n">
        <x:v>11469000</x:v>
      </x:c>
      <x:c r="T21" s="24" t="b">
        <x:v>1</x:v>
      </x:c>
      <x:c r="U21" s="24" t="b">
        <x:v>1</x:v>
      </x:c>
      <x:c r="V21" s="25" t="n">
        <x:f>N21+1.5*O21+3*P21+3*Q21</x:f>
        <x:v>0</x:v>
      </x:c>
      <x:c r="W21" s="25" t="n">
        <x:f>IF(S21="","",S21*3)</x:f>
        <x:v>34407000</x:v>
      </x:c>
      <x:c r="X21" s="25" t="str">
        <x:f>IF(OR(Z21="No",W21=""),"",V21-W21)</x:f>
      </x:c>
      <x:c r="Y21" s="26" t="str">
        <x:f>IF(OR(Z21="No",W21=""),"",IFERROR(V21/W21,0))</x:f>
      </x:c>
      <x:c r="Z21" s="27" t="str">
        <x:f>IF(AND(U21=TRUE,V21=0),"No","Yes")</x:f>
        <x:v>No</x:v>
      </x:c>
      <x:c r="AA21" s="27" t="str">
        <x:f>IF(Z21="No","Not comparable",IF(X21="","Unknown cost",IF(X21&gt;0,"Yes","No")))</x:f>
        <x:v>Not comparable</x:v>
      </x:c>
      <x:c r="AB21" s="20" t="str">
        <x:v>11.469Mn</x:v>
      </x:c>
    </x:row>
    <x:row r="22">
      <x:c r="A22" s="20" t="str">
        <x:v>lifeform-rescue-377-pvp-4star-10</x:v>
      </x:c>
      <x:c r="B22" s="21" t="d">
        <x:v>2026-10-02T00:00:00.000Z</x:v>
      </x:c>
      <x:c r="C22" s="22" t="n">
        <x:v>10</x:v>
      </x:c>
      <x:c r="D22" s="20" t="str">
        <x:v>PTS scan card</x:v>
      </x:c>
      <x:c r="E22" s="20" t="str">
        <x:v>Lifeform Rescue</x:v>
      </x:c>
      <x:c r="F22" s="20" t="str">
        <x:v>PvP</x:v>
      </x:c>
      <x:c r="G22" s="23" t="n">
        <x:v>4</x:v>
      </x:c>
      <x:c r="H22" s="23" t="n">
        <x:v>377</x:v>
      </x:c>
      <x:c r="I22" s="23" t="str">
        <x:v>Combat</x:v>
      </x:c>
      <x:c r="J22" s="23" t="n">
        <x:v>3</x:v>
      </x:c>
      <x:c r="K22" s="23" t="n">
        <x:v>78</x:v>
      </x:c>
      <x:c r="L22" s="23" t="n">
        <x:v>3175</x:v>
      </x:c>
      <x:c r="M22" s="20" t="str">
        <x:v>possible</x:v>
      </x:c>
      <x:c r="N22" s="23" t="n">
        <x:v>3377184</x:v>
      </x:c>
      <x:c r="O22" s="23" t="n">
        <x:v>1485961</x:v>
      </x:c>
      <x:c r="P22" s="23" t="n">
        <x:v>382747</x:v>
      </x:c>
      <x:c r="Q22" s="23" t="n">
        <x:v>0</x:v>
      </x:c>
      <x:c r="R22" s="24" t="b">
        <x:v>1</x:v>
      </x:c>
      <x:c r="S22" s="23" t="n">
        <x:v>2450000</x:v>
      </x:c>
      <x:c r="T22" s="24" t="b">
        <x:v>1</x:v>
      </x:c>
      <x:c r="U22" s="24" t="b">
        <x:v>1</x:v>
      </x:c>
      <x:c r="V22" s="25" t="n">
        <x:f>N22+1.5*O22+3*P22+3*Q22</x:f>
        <x:v>6754366.5</x:v>
      </x:c>
      <x:c r="W22" s="25" t="n">
        <x:f>IF(S22="","",S22*3)</x:f>
        <x:v>7350000</x:v>
      </x:c>
      <x:c r="X22" s="25" t="n">
        <x:f>IF(OR(Z22="No",W22=""),"",V22-W22)</x:f>
        <x:v>-595633.5</x:v>
      </x:c>
      <x:c r="Y22" s="26" t="n">
        <x:f>IF(OR(Z22="No",W22=""),"",IFERROR(V22/W22,0))</x:f>
        <x:v>0.9189614285714286</x:v>
      </x:c>
      <x:c r="Z22" s="27" t="str">
        <x:f>IF(AND(U22=TRUE,V22=0),"No","Yes")</x:f>
        <x:v>Yes</x:v>
      </x:c>
      <x:c r="AA22" s="27" t="str">
        <x:f>IF(Z22="No","Not comparable",IF(X22="","Unknown cost",IF(X22&gt;0,"Yes","No")))</x:f>
        <x:v>No</x:v>
      </x:c>
      <x:c r="AB22" s="20" t="str">
        <x:v>2.45Mn</x:v>
      </x:c>
    </x:row>
    <x:row r="23">
      <x:c r="A23" s="20" t="str">
        <x:v>delivery-crystal-381-pvp-4star-10</x:v>
      </x:c>
      <x:c r="B23" s="21" t="d">
        <x:v>2026-10-02T00:00:00.000Z</x:v>
      </x:c>
      <x:c r="C23" s="22" t="n">
        <x:v>10</x:v>
      </x:c>
      <x:c r="D23" s="20" t="str">
        <x:v>PTS scan card</x:v>
      </x:c>
      <x:c r="E23" s="20" t="str">
        <x:v>Delivery: Crystal</x:v>
      </x:c>
      <x:c r="F23" s="20" t="str">
        <x:v>PvP</x:v>
      </x:c>
      <x:c r="G23" s="23" t="n">
        <x:v>4</x:v>
      </x:c>
      <x:c r="H23" s="23" t="n">
        <x:v>381</x:v>
      </x:c>
      <x:c r="I23" s="23" t="str">
        <x:v>Delivery</x:v>
      </x:c>
      <x:c r="J23" s="23" t="n">
        <x:v>1</x:v>
      </x:c>
      <x:c r="K23" s="23" t="n">
        <x:v>29</x:v>
      </x:c>
      <x:c r="L23" s="23" t="n">
        <x:v>1060</x:v>
      </x:c>
      <x:c r="M23" s="20" t="str">
        <x:v>possible</x:v>
      </x:c>
      <x:c r="N23" s="23" t="n">
        <x:v>0</x:v>
      </x:c>
      <x:c r="O23" s="23" t="n">
        <x:v>4378966</x:v>
      </x:c>
      <x:c r="P23" s="23" t="n">
        <x:v>0</x:v>
      </x:c>
      <x:c r="Q23" s="23" t="n">
        <x:v>0</x:v>
      </x:c>
      <x:c r="R23" s="24" t="b">
        <x:v>1</x:v>
      </x:c>
      <x:c r="S23" s="23" t="n">
        <x:v>825597</x:v>
      </x:c>
      <x:c r="T23" s="24" t="b">
        <x:v>0</x:v>
      </x:c>
      <x:c r="U23" s="24" t="b">
        <x:v>1</x:v>
      </x:c>
      <x:c r="V23" s="25" t="n">
        <x:f>N23+1.5*O23+3*P23+3*Q23</x:f>
        <x:v>6568449</x:v>
      </x:c>
      <x:c r="W23" s="25" t="n">
        <x:f>IF(S23="","",S23*3)</x:f>
        <x:v>2476791</x:v>
      </x:c>
      <x:c r="X23" s="25" t="n">
        <x:f>IF(OR(Z23="No",W23=""),"",V23-W23)</x:f>
        <x:v>4091658</x:v>
      </x:c>
      <x:c r="Y23" s="26" t="n">
        <x:f>IF(OR(Z23="No",W23=""),"",IFERROR(V23/W23,0))</x:f>
        <x:v>2.6519997044562906</x:v>
      </x:c>
      <x:c r="Z23" s="27" t="str">
        <x:f>IF(AND(U23=TRUE,V23=0),"No","Yes")</x:f>
        <x:v>Yes</x:v>
      </x:c>
      <x:c r="AA23" s="27" t="str">
        <x:f>IF(Z23="No","Not comparable",IF(X23="","Unknown cost",IF(X23&gt;0,"Yes","No")))</x:f>
        <x:v>Yes</x:v>
      </x:c>
      <x:c r="AB23" s="20" t="str">
        <x:v>825,597</x:v>
      </x:c>
    </x:row>
    <x:row r="24">
      <x:c r="A24" s="20" t="str">
        <x:v>valuable-delivery-430-pvp-1star-10</x:v>
      </x:c>
      <x:c r="B24" s="21" t="d">
        <x:v>2026-10-02T00:00:00.000Z</x:v>
      </x:c>
      <x:c r="C24" s="22" t="n">
        <x:v>10</x:v>
      </x:c>
      <x:c r="D24" s="20" t="str">
        <x:v>PTS scan card</x:v>
      </x:c>
      <x:c r="E24" s="20" t="str">
        <x:v>Valuable Delivery</x:v>
      </x:c>
      <x:c r="F24" s="20" t="str">
        <x:v>PvP</x:v>
      </x:c>
      <x:c r="G24" s="23" t="n">
        <x:v>1</x:v>
      </x:c>
      <x:c r="H24" s="23" t="n">
        <x:v>430</x:v>
      </x:c>
      <x:c r="I24" s="23" t="str">
        <x:v>Delivery</x:v>
      </x:c>
      <x:c r="J24" s="23" t="n">
        <x:v>2</x:v>
      </x:c>
      <x:c r="K24" s="23" t="n">
        <x:v>52</x:v>
      </x:c>
      <x:c r="L24" s="23" t="n">
        <x:v>3175</x:v>
      </x:c>
      <x:c r="M24" s="20" t="str">
        <x:v>possible</x:v>
      </x:c>
      <x:c r="N24" s="23" t="n">
        <x:v>1598927</x:v>
      </x:c>
      <x:c r="O24" s="23" t="n">
        <x:v>1065951</x:v>
      </x:c>
      <x:c r="P24" s="23" t="n">
        <x:v>0</x:v>
      </x:c>
      <x:c r="Q24" s="23" t="n">
        <x:v>0</x:v>
      </x:c>
      <x:c r="R24" s="24" t="b">
        <x:v>1</x:v>
      </x:c>
      <x:c r="S24" s="23" t="n">
        <x:v>465888</x:v>
      </x:c>
      <x:c r="T24" s="24" t="b">
        <x:v>0</x:v>
      </x:c>
      <x:c r="U24" s="24" t="b">
        <x:v>1</x:v>
      </x:c>
      <x:c r="V24" s="25" t="n">
        <x:f>N24+1.5*O24+3*P24+3*Q24</x:f>
        <x:v>3197853.5</x:v>
      </x:c>
      <x:c r="W24" s="25" t="n">
        <x:f>IF(S24="","",S24*3)</x:f>
        <x:v>1397664</x:v>
      </x:c>
      <x:c r="X24" s="25" t="n">
        <x:f>IF(OR(Z24="No",W24=""),"",V24-W24)</x:f>
        <x:v>1800189.5</x:v>
      </x:c>
      <x:c r="Y24" s="26" t="n">
        <x:f>IF(OR(Z24="No",W24=""),"",IFERROR(V24/W24,0))</x:f>
        <x:v>2.2879987607894314</x:v>
      </x:c>
      <x:c r="Z24" s="27" t="str">
        <x:f>IF(AND(U24=TRUE,V24=0),"No","Yes")</x:f>
        <x:v>Yes</x:v>
      </x:c>
      <x:c r="AA24" s="27" t="str">
        <x:f>IF(Z24="No","Not comparable",IF(X24="","Unknown cost",IF(X24&gt;0,"Yes","No")))</x:f>
        <x:v>Yes</x:v>
      </x:c>
      <x:c r="AB24" s="20" t="str">
        <x:v>465,888</x:v>
      </x:c>
    </x:row>
    <x:row r="25">
      <x:c r="A25" s="20" t="str">
        <x:v>medium-pirate-encounter-344-pve-4star-50</x:v>
      </x:c>
      <x:c r="B25" s="21" t="d">
        <x:v>2026-10-02T00:00:00.000Z</x:v>
      </x:c>
      <x:c r="C25" s="22" t="n">
        <x:v>50</x:v>
      </x:c>
      <x:c r="D25" s="20" t="str">
        <x:v>PTS scan card</x:v>
      </x:c>
      <x:c r="E25" s="20" t="str">
        <x:v>Medium Pirate Encounter</x:v>
      </x:c>
      <x:c r="F25" s="20" t="str">
        <x:v>PvE</x:v>
      </x:c>
      <x:c r="G25" s="23" t="n">
        <x:v>4</x:v>
      </x:c>
      <x:c r="H25" s="23" t="n">
        <x:v>344</x:v>
      </x:c>
      <x:c r="I25" s="23" t="str">
        <x:v>Combat</x:v>
      </x:c>
      <x:c r="J25" s="23" t="n">
        <x:v>1</x:v>
      </x:c>
      <x:c r="K25" s="23" t="n">
        <x:v>27</x:v>
      </x:c>
      <x:c r="L25" s="23" t="n">
        <x:v>6785</x:v>
      </x:c>
      <x:c r="M25" s="20" t="str">
        <x:v>possible</x:v>
      </x:c>
      <x:c r="N25" s="23" t="n">
        <x:v>3193379</x:v>
      </x:c>
      <x:c r="O25" s="23" t="n">
        <x:v>0</x:v>
      </x:c>
      <x:c r="P25" s="23" t="n">
        <x:v>0</x:v>
      </x:c>
      <x:c r="Q25" s="23" t="n">
        <x:v>0</x:v>
      </x:c>
      <x:c r="R25" s="24" t="b">
        <x:v>1</x:v>
      </x:c>
      <x:c r="S25" s="23" t="n">
        <x:v>745420</x:v>
      </x:c>
      <x:c r="T25" s="24" t="b">
        <x:v>0</x:v>
      </x:c>
      <x:c r="U25" s="24" t="b">
        <x:v>1</x:v>
      </x:c>
      <x:c r="V25" s="25" t="n">
        <x:f>N25+1.5*O25+3*P25+3*Q25</x:f>
        <x:v>3193379</x:v>
      </x:c>
      <x:c r="W25" s="25" t="n">
        <x:f>IF(S25="","",S25*3)</x:f>
        <x:v>2236260</x:v>
      </x:c>
      <x:c r="X25" s="25" t="n">
        <x:f>IF(OR(Z25="No",W25=""),"",V25-W25)</x:f>
        <x:v>957119</x:v>
      </x:c>
      <x:c r="Y25" s="26" t="n">
        <x:f>IF(OR(Z25="No",W25=""),"",IFERROR(V25/W25,0))</x:f>
        <x:v>1.4279998747909457</x:v>
      </x:c>
      <x:c r="Z25" s="27" t="str">
        <x:f>IF(AND(U25=TRUE,V25=0),"No","Yes")</x:f>
        <x:v>Yes</x:v>
      </x:c>
      <x:c r="AA25" s="27" t="str">
        <x:f>IF(Z25="No","Not comparable",IF(X25="","Unknown cost",IF(X25&gt;0,"Yes","No")))</x:f>
        <x:v>Yes</x:v>
      </x:c>
      <x:c r="AB25" s="20" t="str">
        <x:v>745,420</x:v>
      </x:c>
    </x:row>
    <x:row r="26">
      <x:c r="A26" s="20" t="str">
        <x:v>medium-alien-encounter-410-pve-2star-50</x:v>
      </x:c>
      <x:c r="B26" s="21" t="d">
        <x:v>2026-10-02T00:00:00.000Z</x:v>
      </x:c>
      <x:c r="C26" s="22" t="n">
        <x:v>50</x:v>
      </x:c>
      <x:c r="D26" s="20" t="str">
        <x:v>PTS scan card</x:v>
      </x:c>
      <x:c r="E26" s="20" t="str">
        <x:v>Medium Alien Encounter</x:v>
      </x:c>
      <x:c r="F26" s="20" t="str">
        <x:v>PvE</x:v>
      </x:c>
      <x:c r="G26" s="23" t="n">
        <x:v>2</x:v>
      </x:c>
      <x:c r="H26" s="23" t="n">
        <x:v>410</x:v>
      </x:c>
      <x:c r="I26" s="23" t="str">
        <x:v>Combat</x:v>
      </x:c>
      <x:c r="J26" s="23" t="n">
        <x:v>2</x:v>
      </x:c>
      <x:c r="K26" s="23" t="n">
        <x:v>51</x:v>
      </x:c>
      <x:c r="L26" s="23" t="n">
        <x:v>3080</x:v>
      </x:c>
      <x:c r="M26" s="20" t="str">
        <x:v>possible</x:v>
      </x:c>
      <x:c r="N26" s="23" t="n">
        <x:v>0</x:v>
      </x:c>
      <x:c r="O26" s="23" t="n">
        <x:v>2402336</x:v>
      </x:c>
      <x:c r="P26" s="23" t="n">
        <x:v>0</x:v>
      </x:c>
      <x:c r="Q26" s="23" t="n">
        <x:v>0</x:v>
      </x:c>
      <x:c r="R26" s="24" t="b">
        <x:v>1</x:v>
      </x:c>
      <x:c r="S26" s="23" t="n">
        <x:v>888438</x:v>
      </x:c>
      <x:c r="T26" s="24" t="b">
        <x:v>0</x:v>
      </x:c>
      <x:c r="U26" s="24" t="b">
        <x:v>1</x:v>
      </x:c>
      <x:c r="V26" s="25" t="n">
        <x:f>N26+1.5*O26+3*P26+3*Q26</x:f>
        <x:v>3603504</x:v>
      </x:c>
      <x:c r="W26" s="25" t="n">
        <x:f>IF(S26="","",S26*3)</x:f>
        <x:v>2665314</x:v>
      </x:c>
      <x:c r="X26" s="25" t="n">
        <x:f>IF(OR(Z26="No",W26=""),"",V26-W26)</x:f>
        <x:v>938190</x:v>
      </x:c>
      <x:c r="Y26" s="26" t="n">
        <x:f>IF(OR(Z26="No",W26=""),"",IFERROR(V26/W26,0))</x:f>
        <x:v>1.3519998018995136</x:v>
      </x:c>
      <x:c r="Z26" s="27" t="str">
        <x:f>IF(AND(U26=TRUE,V26=0),"No","Yes")</x:f>
        <x:v>Yes</x:v>
      </x:c>
      <x:c r="AA26" s="27" t="str">
        <x:f>IF(Z26="No","Not comparable",IF(X26="","Unknown cost",IF(X26&gt;0,"Yes","No")))</x:f>
        <x:v>Yes</x:v>
      </x:c>
      <x:c r="AB26" s="20" t="str">
        <x:v>888,438</x:v>
      </x:c>
    </x:row>
    <x:row r="27">
      <x:c r="A27" s="20" t="str">
        <x:v>rescue-373-pvp-3star-50</x:v>
      </x:c>
      <x:c r="B27" s="21" t="d">
        <x:v>2026-10-02T00:00:00.000Z</x:v>
      </x:c>
      <x:c r="C27" s="22" t="n">
        <x:v>50</x:v>
      </x:c>
      <x:c r="D27" s="20" t="str">
        <x:v>PTS scan card</x:v>
      </x:c>
      <x:c r="E27" s="20" t="str">
        <x:v>Rescue</x:v>
      </x:c>
      <x:c r="F27" s="20" t="str">
        <x:v>PvP</x:v>
      </x:c>
      <x:c r="G27" s="23" t="n">
        <x:v>3</x:v>
      </x:c>
      <x:c r="H27" s="23" t="n">
        <x:v>373</x:v>
      </x:c>
      <x:c r="I27" s="23" t="str">
        <x:v>Combat</x:v>
      </x:c>
      <x:c r="J27" s="23" t="n">
        <x:v>3</x:v>
      </x:c>
      <x:c r="K27" s="23" t="n">
        <x:v>73</x:v>
      </x:c>
      <x:c r="L27" s="23" t="n">
        <x:v>5170</x:v>
      </x:c>
      <x:c r="M27" s="20" t="str">
        <x:v>possible</x:v>
      </x:c>
      <x:c r="N27" s="23" t="n">
        <x:v>5783108</x:v>
      </x:c>
      <x:c r="O27" s="23" t="n">
        <x:v>2544568</x:v>
      </x:c>
      <x:c r="P27" s="23" t="n">
        <x:v>655418</x:v>
      </x:c>
      <x:c r="Q27" s="23" t="n">
        <x:v>0</x:v>
      </x:c>
      <x:c r="R27" s="24" t="b">
        <x:v>1</x:v>
      </x:c>
      <x:c r="S27" s="23" t="n">
        <x:v>1818000</x:v>
      </x:c>
      <x:c r="T27" s="24" t="b">
        <x:v>1</x:v>
      </x:c>
      <x:c r="U27" s="24" t="b">
        <x:v>1</x:v>
      </x:c>
      <x:c r="V27" s="25" t="n">
        <x:f>N27+1.5*O27+3*P27+3*Q27</x:f>
        <x:v>11566214</x:v>
      </x:c>
      <x:c r="W27" s="25" t="n">
        <x:f>IF(S27="","",S27*3)</x:f>
        <x:v>5454000</x:v>
      </x:c>
      <x:c r="X27" s="25" t="n">
        <x:f>IF(OR(Z27="No",W27=""),"",V27-W27)</x:f>
        <x:v>6112214</x:v>
      </x:c>
      <x:c r="Y27" s="26" t="n">
        <x:f>IF(OR(Z27="No",W27=""),"",IFERROR(V27/W27,0))</x:f>
        <x:v>2.12068463513018</x:v>
      </x:c>
      <x:c r="Z27" s="27" t="str">
        <x:f>IF(AND(U27=TRUE,V27=0),"No","Yes")</x:f>
        <x:v>Yes</x:v>
      </x:c>
      <x:c r="AA27" s="27" t="str">
        <x:f>IF(Z27="No","Not comparable",IF(X27="","Unknown cost",IF(X27&gt;0,"Yes","No")))</x:f>
        <x:v>Yes</x:v>
      </x:c>
      <x:c r="AB27" s="20" t="str">
        <x:v>1.818Mn</x:v>
      </x:c>
    </x:row>
    <x:row r="28">
      <x:c r="A28" s="20" t="str">
        <x:v>lost-debris-field-384-pve-3star-50</x:v>
      </x:c>
      <x:c r="B28" s="21" t="d">
        <x:v>2026-10-02T00:00:00.000Z</x:v>
      </x:c>
      <x:c r="C28" s="22" t="n">
        <x:v>50</x:v>
      </x:c>
      <x:c r="D28" s="20" t="str">
        <x:v>PTS scan card</x:v>
      </x:c>
      <x:c r="E28" s="20" t="str">
        <x:v>Lost Debris Field</x:v>
      </x:c>
      <x:c r="F28" s="20" t="str">
        <x:v>PvE</x:v>
      </x:c>
      <x:c r="G28" s="23" t="n">
        <x:v>3</x:v>
      </x:c>
      <x:c r="H28" s="23" t="n">
        <x:v>384</x:v>
      </x:c>
      <x:c r="I28" s="23" t="str">
        <x:v>Combat</x:v>
      </x:c>
      <x:c r="J28" s="23" t="n">
        <x:v>4</x:v>
      </x:c>
      <x:c r="K28" s="23" t="n">
        <x:v>127</x:v>
      </x:c>
      <x:c r="L28" s="23" t="n">
        <x:v>16475</x:v>
      </x:c>
      <x:c r="M28" s="20" t="str">
        <x:v>possible</x:v>
      </x:c>
      <x:c r="N28" s="23" t="n">
        <x:v>8257188</x:v>
      </x:c>
      <x:c r="O28" s="23" t="n">
        <x:v>2313164</x:v>
      </x:c>
      <x:c r="P28" s="23" t="n">
        <x:v>595812</x:v>
      </x:c>
      <x:c r="Q28" s="23" t="n">
        <x:v>0</x:v>
      </x:c>
      <x:c r="R28" s="24" t="b">
        <x:v>1</x:v>
      </x:c>
      <x:c r="S28" s="23" t="n">
        <x:v>2496000</x:v>
      </x:c>
      <x:c r="T28" s="24" t="b">
        <x:v>1</x:v>
      </x:c>
      <x:c r="U28" s="24" t="b">
        <x:v>1</x:v>
      </x:c>
      <x:c r="V28" s="25" t="n">
        <x:f>N28+1.5*O28+3*P28+3*Q28</x:f>
        <x:v>13514370</x:v>
      </x:c>
      <x:c r="W28" s="25" t="n">
        <x:f>IF(S28="","",S28*3)</x:f>
        <x:v>7488000</x:v>
      </x:c>
      <x:c r="X28" s="25" t="n">
        <x:f>IF(OR(Z28="No",W28=""),"",V28-W28)</x:f>
        <x:v>6026370</x:v>
      </x:c>
      <x:c r="Y28" s="26" t="n">
        <x:f>IF(OR(Z28="No",W28=""),"",IFERROR(V28/W28,0))</x:f>
        <x:v>1.804803685897436</x:v>
      </x:c>
      <x:c r="Z28" s="27" t="str">
        <x:f>IF(AND(U28=TRUE,V28=0),"No","Yes")</x:f>
        <x:v>Yes</x:v>
      </x:c>
      <x:c r="AA28" s="27" t="str">
        <x:f>IF(Z28="No","Not comparable",IF(X28="","Unknown cost",IF(X28&gt;0,"Yes","No")))</x:f>
        <x:v>Yes</x:v>
      </x:c>
      <x:c r="AB28" s="20" t="str">
        <x:v>2.496Mn</x:v>
      </x:c>
    </x:row>
    <x:row r="29">
      <x:c r="A29" s="20" t="str">
        <x:v>small-alien-encounter-320-pvp-3star-50</x:v>
      </x:c>
      <x:c r="B29" s="21" t="d">
        <x:v>2026-10-02T00:00:00.000Z</x:v>
      </x:c>
      <x:c r="C29" s="22" t="n">
        <x:v>50</x:v>
      </x:c>
      <x:c r="D29" s="20" t="str">
        <x:v>PTS scan card</x:v>
      </x:c>
      <x:c r="E29" s="20" t="str">
        <x:v>Small Alien Encounter</x:v>
      </x:c>
      <x:c r="F29" s="20" t="str">
        <x:v>PvP</x:v>
      </x:c>
      <x:c r="G29" s="23" t="n">
        <x:v>3</x:v>
      </x:c>
      <x:c r="H29" s="23" t="n">
        <x:v>320</x:v>
      </x:c>
      <x:c r="I29" s="23" t="str">
        <x:v>Combat</x:v>
      </x:c>
      <x:c r="J29" s="23" t="n">
        <x:v>3</x:v>
      </x:c>
      <x:c r="K29" s="23" t="n">
        <x:v>101</x:v>
      </x:c>
      <x:c r="L29" s="23" t="n">
        <x:v>7165</x:v>
      </x:c>
      <x:c r="M29" s="20" t="str">
        <x:v>possible</x:v>
      </x:c>
      <x:c r="N29" s="23" t="n">
        <x:v>5292140</x:v>
      </x:c>
      <x:c r="O29" s="23" t="n">
        <x:v>0</x:v>
      </x:c>
      <x:c r="P29" s="23" t="n">
        <x:v>0</x:v>
      </x:c>
      <x:c r="Q29" s="23" t="n">
        <x:v>0</x:v>
      </x:c>
      <x:c r="R29" s="24" t="b">
        <x:v>1</x:v>
      </x:c>
      <x:c r="S29" s="23" t="n">
        <x:v>1560000</x:v>
      </x:c>
      <x:c r="T29" s="24" t="b">
        <x:v>1</x:v>
      </x:c>
      <x:c r="U29" s="24" t="b">
        <x:v>1</x:v>
      </x:c>
      <x:c r="V29" s="25" t="n">
        <x:f>N29+1.5*O29+3*P29+3*Q29</x:f>
        <x:v>5292140</x:v>
      </x:c>
      <x:c r="W29" s="25" t="n">
        <x:f>IF(S29="","",S29*3)</x:f>
        <x:v>4680000</x:v>
      </x:c>
      <x:c r="X29" s="25" t="n">
        <x:f>IF(OR(Z29="No",W29=""),"",V29-W29)</x:f>
        <x:v>612140</x:v>
      </x:c>
      <x:c r="Y29" s="26" t="n">
        <x:f>IF(OR(Z29="No",W29=""),"",IFERROR(V29/W29,0))</x:f>
        <x:v>1.1307991452991453</x:v>
      </x:c>
      <x:c r="Z29" s="27" t="str">
        <x:f>IF(AND(U29=TRUE,V29=0),"No","Yes")</x:f>
        <x:v>Yes</x:v>
      </x:c>
      <x:c r="AA29" s="27" t="str">
        <x:f>IF(Z29="No","Not comparable",IF(X29="","Unknown cost",IF(X29&gt;0,"Yes","No")))</x:f>
        <x:v>Yes</x:v>
      </x:c>
      <x:c r="AB29" s="20" t="str">
        <x:v>1.56Mn</x:v>
      </x:c>
    </x:row>
    <x:row r="30">
      <x:c r="A30" s="20" t="str">
        <x:v>delivery-metal-468-pvp-5star-50</x:v>
      </x:c>
      <x:c r="B30" s="21" t="d">
        <x:v>2026-10-02T00:00:00.000Z</x:v>
      </x:c>
      <x:c r="C30" s="22" t="n">
        <x:v>50</x:v>
      </x:c>
      <x:c r="D30" s="20" t="str">
        <x:v>PTS scan card</x:v>
      </x:c>
      <x:c r="E30" s="20" t="str">
        <x:v>Delivery: Metal</x:v>
      </x:c>
      <x:c r="F30" s="20" t="str">
        <x:v>PvP</x:v>
      </x:c>
      <x:c r="G30" s="23" t="n">
        <x:v>5</x:v>
      </x:c>
      <x:c r="H30" s="23" t="n">
        <x:v>468</x:v>
      </x:c>
      <x:c r="I30" s="23" t="str">
        <x:v>Delivery</x:v>
      </x:c>
      <x:c r="J30" s="23" t="n">
        <x:v>2</x:v>
      </x:c>
      <x:c r="K30" s="23" t="n">
        <x:v>86</x:v>
      </x:c>
      <x:c r="L30" s="23" t="n">
        <x:v>12010</x:v>
      </x:c>
      <x:c r="M30" s="20" t="str">
        <x:v>possible</x:v>
      </x:c>
      <x:c r="N30" s="23" t="n">
        <x:v>20566320</x:v>
      </x:c>
      <x:c r="O30" s="23" t="n">
        <x:v>0</x:v>
      </x:c>
      <x:c r="P30" s="23" t="n">
        <x:v>0</x:v>
      </x:c>
      <x:c r="Q30" s="23" t="n">
        <x:v>0</x:v>
      </x:c>
      <x:c r="R30" s="24" t="b">
        <x:v>1</x:v>
      </x:c>
      <x:c r="S30" s="23" t="n">
        <x:v>2535000</x:v>
      </x:c>
      <x:c r="T30" s="24" t="b">
        <x:v>1</x:v>
      </x:c>
      <x:c r="U30" s="24" t="b">
        <x:v>1</x:v>
      </x:c>
      <x:c r="V30" s="25" t="n">
        <x:f>N30+1.5*O30+3*P30+3*Q30</x:f>
        <x:v>20566320</x:v>
      </x:c>
      <x:c r="W30" s="25" t="n">
        <x:f>IF(S30="","",S30*3)</x:f>
        <x:v>7605000</x:v>
      </x:c>
      <x:c r="X30" s="25" t="n">
        <x:f>IF(OR(Z30="No",W30=""),"",V30-W30)</x:f>
        <x:v>12961320</x:v>
      </x:c>
      <x:c r="Y30" s="26" t="n">
        <x:f>IF(OR(Z30="No",W30=""),"",IFERROR(V30/W30,0))</x:f>
        <x:v>2.7043155818540434</x:v>
      </x:c>
      <x:c r="Z30" s="27" t="str">
        <x:f>IF(AND(U30=TRUE,V30=0),"No","Yes")</x:f>
        <x:v>Yes</x:v>
      </x:c>
      <x:c r="AA30" s="27" t="str">
        <x:f>IF(Z30="No","Not comparable",IF(X30="","Unknown cost",IF(X30&gt;0,"Yes","No")))</x:f>
        <x:v>Yes</x:v>
      </x:c>
      <x:c r="AB30" s="20" t="str">
        <x:v>2.535Mn</x:v>
      </x:c>
    </x:row>
    <x:row r="31">
      <x:c r="A31" s="20" t="str">
        <x:v>rescue-486-pvp-5star</x:v>
      </x:c>
      <x:c r="B31" s="21" t="d">
        <x:v>2026-10-01T00:00:00.000Z</x:v>
      </x:c>
      <x:c r="C31" s="22" t="n">
        <x:v>10</x:v>
      </x:c>
      <x:c r="D31" s="20" t="str">
        <x:v>PTS scan card</x:v>
      </x:c>
      <x:c r="E31" s="20" t="str">
        <x:v>Rescue</x:v>
      </x:c>
      <x:c r="F31" s="20" t="str">
        <x:v>PvP</x:v>
      </x:c>
      <x:c r="G31" s="23" t="n">
        <x:v>5</x:v>
      </x:c>
      <x:c r="H31" s="23" t="n">
        <x:v>486</x:v>
      </x:c>
      <x:c r="I31" s="23" t="str">
        <x:v>Combat</x:v>
      </x:c>
      <x:c r="J31" s="23" t="n">
        <x:v>4</x:v>
      </x:c>
      <x:c r="K31" s="23" t="n">
        <x:v>78</x:v>
      </x:c>
      <x:c r="L31" s="23" t="n">
        <x:v>3175</x:v>
      </x:c>
      <x:c r="M31" s="20" t="str">
        <x:v>possible</x:v>
      </x:c>
      <x:c r="N31" s="23" t="n">
        <x:v>16693767</x:v>
      </x:c>
      <x:c r="O31" s="23" t="n">
        <x:v>7432875</x:v>
      </x:c>
      <x:c r="P31" s="23" t="n">
        <x:v>2493776</x:v>
      </x:c>
      <x:c r="Q31" s="23" t="n">
        <x:v>0</x:v>
      </x:c>
      <x:c r="R31" s="24" t="b">
        <x:v>1</x:v>
      </x:c>
      <x:c r="S31" s="23" t="n">
        <x:v>13657000</x:v>
      </x:c>
      <x:c r="T31" s="24" t="b">
        <x:v>1</x:v>
      </x:c>
      <x:c r="U31" s="24" t="b">
        <x:v>1</x:v>
      </x:c>
      <x:c r="V31" s="25" t="n">
        <x:f>N31+1.5*O31+3*P31+3*Q31</x:f>
        <x:v>35324407.5</x:v>
      </x:c>
      <x:c r="W31" s="25" t="n">
        <x:f>IF(S31="","",S31*3)</x:f>
        <x:v>40971000</x:v>
      </x:c>
      <x:c r="X31" s="25" t="n">
        <x:f>IF(OR(Z31="No",W31=""),"",V31-W31)</x:f>
        <x:v>-5646592.5</x:v>
      </x:c>
      <x:c r="Y31" s="26" t="n">
        <x:f>IF(OR(Z31="No",W31=""),"",IFERROR(V31/W31,0))</x:f>
        <x:v>0.862180749798638</x:v>
      </x:c>
      <x:c r="Z31" s="27" t="str">
        <x:f>IF(AND(U31=TRUE,V31=0),"No","Yes")</x:f>
        <x:v>Yes</x:v>
      </x:c>
      <x:c r="AA31" s="27" t="str">
        <x:f>IF(Z31="No","Not comparable",IF(X31="","Unknown cost",IF(X31&gt;0,"Yes","No")))</x:f>
        <x:v>No</x:v>
      </x:c>
      <x:c r="AB31" s="20" t="str">
        <x:v>13.657M</x:v>
      </x:c>
    </x:row>
    <x:row r="32">
      <x:c r="A32" s="20" t="str">
        <x:v>resource-deuterium-578-pve-2star</x:v>
      </x:c>
      <x:c r="B32" s="21" t="d">
        <x:v>2026-10-01T00:00:00.000Z</x:v>
      </x:c>
      <x:c r="C32" s="22" t="n">
        <x:v>10</x:v>
      </x:c>
      <x:c r="D32" s="20" t="str">
        <x:v>PTS scan card</x:v>
      </x:c>
      <x:c r="E32" s="20" t="str">
        <x:v>Resource: Deuterium</x:v>
      </x:c>
      <x:c r="F32" s="20" t="str">
        <x:v>PvE</x:v>
      </x:c>
      <x:c r="G32" s="23" t="n">
        <x:v>2</x:v>
      </x:c>
      <x:c r="H32" s="23" t="n">
        <x:v>578</x:v>
      </x:c>
      <x:c r="I32" s="23" t="str">
        <x:v>Combat</x:v>
      </x:c>
      <x:c r="J32" s="23" t="n">
        <x:v>5</x:v>
      </x:c>
      <x:c r="K32" s="23" t="n">
        <x:v>88</x:v>
      </x:c>
      <x:c r="L32" s="23" t="n">
        <x:v>3365</x:v>
      </x:c>
      <x:c r="M32" s="20" t="str">
        <x:v>possible</x:v>
      </x:c>
      <x:c r="N32" s="23" t="n">
        <x:v>0</x:v>
      </x:c>
      <x:c r="O32" s="23" t="n">
        <x:v>0</x:v>
      </x:c>
      <x:c r="P32" s="23" t="n">
        <x:v>15400015</x:v>
      </x:c>
      <x:c r="Q32" s="23" t="n">
        <x:v>0</x:v>
      </x:c>
      <x:c r="R32" s="24" t="b">
        <x:v>1</x:v>
      </x:c>
      <x:c r="S32" s="23" t="n">
        <x:v>8121000</x:v>
      </x:c>
      <x:c r="T32" s="24" t="b">
        <x:v>1</x:v>
      </x:c>
      <x:c r="U32" s="24" t="b">
        <x:v>1</x:v>
      </x:c>
      <x:c r="V32" s="25" t="n">
        <x:f>N32+1.5*O32+3*P32+3*Q32</x:f>
        <x:v>46200045</x:v>
      </x:c>
      <x:c r="W32" s="25" t="n">
        <x:f>IF(S32="","",S32*3)</x:f>
        <x:v>24363000</x:v>
      </x:c>
      <x:c r="X32" s="25" t="n">
        <x:f>IF(OR(Z32="No",W32=""),"",V32-W32)</x:f>
        <x:v>21837045</x:v>
      </x:c>
      <x:c r="Y32" s="26" t="n">
        <x:f>IF(OR(Z32="No",W32=""),"",IFERROR(V32/W32,0))</x:f>
        <x:v>1.8963200344785125</x:v>
      </x:c>
      <x:c r="Z32" s="27" t="str">
        <x:f>IF(AND(U32=TRUE,V32=0),"No","Yes")</x:f>
        <x:v>Yes</x:v>
      </x:c>
      <x:c r="AA32" s="27" t="str">
        <x:f>IF(Z32="No","Not comparable",IF(X32="","Unknown cost",IF(X32&gt;0,"Yes","No")))</x:f>
        <x:v>Yes</x:v>
      </x:c>
      <x:c r="AB32" s="20" t="str">
        <x:v>8.121M</x:v>
      </x:c>
    </x:row>
    <x:row r="33">
      <x:c r="A33" s="20" t="str">
        <x:v>medium-alien-encounter-673-pvp-3star</x:v>
      </x:c>
      <x:c r="B33" s="21" t="d">
        <x:v>2026-10-01T00:00:00.000Z</x:v>
      </x:c>
      <x:c r="C33" s="22" t="n">
        <x:v>10</x:v>
      </x:c>
      <x:c r="D33" s="20" t="str">
        <x:v>PTS scan card</x:v>
      </x:c>
      <x:c r="E33" s="20" t="str">
        <x:v>Medium Alien Encounter</x:v>
      </x:c>
      <x:c r="F33" s="20" t="str">
        <x:v>PvP</x:v>
      </x:c>
      <x:c r="G33" s="23" t="n">
        <x:v>3</x:v>
      </x:c>
      <x:c r="H33" s="23" t="n">
        <x:v>673</x:v>
      </x:c>
      <x:c r="I33" s="23" t="str">
        <x:v>Combat</x:v>
      </x:c>
      <x:c r="J33" s="23" t="n">
        <x:v>2</x:v>
      </x:c>
      <x:c r="K33" s="23" t="n">
        <x:v>39</x:v>
      </x:c>
      <x:c r="L33" s="23" t="n">
        <x:v>2985</x:v>
      </x:c>
      <x:c r="M33" s="20" t="str">
        <x:v>possible</x:v>
      </x:c>
      <x:c r="N33" s="23" t="n">
        <x:v>11575668</x:v>
      </x:c>
      <x:c r="O33" s="23" t="n">
        <x:v>5154049</x:v>
      </x:c>
      <x:c r="P33" s="23" t="n">
        <x:v>11901075</x:v>
      </x:c>
      <x:c r="Q33" s="23" t="n">
        <x:v>0</x:v>
      </x:c>
      <x:c r="R33" s="24" t="b">
        <x:v>1</x:v>
      </x:c>
      <x:c r="S33" s="23" t="n">
        <x:v>5673000</x:v>
      </x:c>
      <x:c r="T33" s="24" t="b">
        <x:v>1</x:v>
      </x:c>
      <x:c r="U33" s="24" t="b">
        <x:v>1</x:v>
      </x:c>
      <x:c r="V33" s="25" t="n">
        <x:f>N33+1.5*O33+3*P33+3*Q33</x:f>
        <x:v>55009966.5</x:v>
      </x:c>
      <x:c r="W33" s="25" t="n">
        <x:f>IF(S33="","",S33*3)</x:f>
        <x:v>17019000</x:v>
      </x:c>
      <x:c r="X33" s="25" t="n">
        <x:f>IF(OR(Z33="No",W33=""),"",V33-W33)</x:f>
        <x:v>37990966.5</x:v>
      </x:c>
      <x:c r="Y33" s="26" t="n">
        <x:f>IF(OR(Z33="No",W33=""),"",IFERROR(V33/W33,0))</x:f>
        <x:v>3.23226784769963</x:v>
      </x:c>
      <x:c r="Z33" s="27" t="str">
        <x:f>IF(AND(U33=TRUE,V33=0),"No","Yes")</x:f>
        <x:v>Yes</x:v>
      </x:c>
      <x:c r="AA33" s="27" t="str">
        <x:f>IF(Z33="No","Not comparable",IF(X33="","Unknown cost",IF(X33&gt;0,"Yes","No")))</x:f>
        <x:v>Yes</x:v>
      </x:c>
      <x:c r="AB33" s="20" t="str">
        <x:v>5.673M</x:v>
      </x:c>
    </x:row>
    <x:row r="34">
      <x:c r="A34" s="20" t="str">
        <x:v>delivery-metal-575-pve-3star</x:v>
      </x:c>
      <x:c r="B34" s="21" t="d">
        <x:v>2026-10-01T00:00:00.000Z</x:v>
      </x:c>
      <x:c r="C34" s="22" t="n">
        <x:v>10</x:v>
      </x:c>
      <x:c r="D34" s="20" t="str">
        <x:v>PTS scan card</x:v>
      </x:c>
      <x:c r="E34" s="20" t="str">
        <x:v>Delivery: Metal</x:v>
      </x:c>
      <x:c r="F34" s="20" t="str">
        <x:v>PvE</x:v>
      </x:c>
      <x:c r="G34" s="23" t="n">
        <x:v>3</x:v>
      </x:c>
      <x:c r="H34" s="23" t="n">
        <x:v>575</x:v>
      </x:c>
      <x:c r="I34" s="23" t="str">
        <x:v>Delivery</x:v>
      </x:c>
      <x:c r="J34" s="23" t="n">
        <x:v>4</x:v>
      </x:c>
      <x:c r="K34" s="23" t="n">
        <x:v>85</x:v>
      </x:c>
      <x:c r="L34" s="23" t="n">
        <x:v>3270</x:v>
      </x:c>
      <x:c r="M34" s="20" t="str">
        <x:v>possible</x:v>
      </x:c>
      <x:c r="N34" s="23" t="n">
        <x:v>41081772</x:v>
      </x:c>
      <x:c r="O34" s="23" t="n">
        <x:v>0</x:v>
      </x:c>
      <x:c r="P34" s="23" t="n">
        <x:v>0</x:v>
      </x:c>
      <x:c r="Q34" s="23" t="n">
        <x:v>0</x:v>
      </x:c>
      <x:c r="R34" s="24" t="b">
        <x:v>1</x:v>
      </x:c>
      <x:c r="S34" s="23" t="n">
        <x:v>9695000</x:v>
      </x:c>
      <x:c r="T34" s="24" t="b">
        <x:v>1</x:v>
      </x:c>
      <x:c r="U34" s="24" t="b">
        <x:v>1</x:v>
      </x:c>
      <x:c r="V34" s="25" t="n">
        <x:f>N34+1.5*O34+3*P34+3*Q34</x:f>
        <x:v>41081772</x:v>
      </x:c>
      <x:c r="W34" s="25" t="n">
        <x:f>IF(S34="","",S34*3)</x:f>
        <x:v>29085000</x:v>
      </x:c>
      <x:c r="X34" s="25" t="n">
        <x:f>IF(OR(Z34="No",W34=""),"",V34-W34)</x:f>
        <x:v>11996772</x:v>
      </x:c>
      <x:c r="Y34" s="26" t="n">
        <x:f>IF(OR(Z34="No",W34=""),"",IFERROR(V34/W34,0))</x:f>
        <x:v>1.412472821041774</x:v>
      </x:c>
      <x:c r="Z34" s="27" t="str">
        <x:f>IF(AND(U34=TRUE,V34=0),"No","Yes")</x:f>
        <x:v>Yes</x:v>
      </x:c>
      <x:c r="AA34" s="27" t="str">
        <x:f>IF(Z34="No","Not comparable",IF(X34="","Unknown cost",IF(X34&gt;0,"Yes","No")))</x:f>
        <x:v>Yes</x:v>
      </x:c>
      <x:c r="AB34" s="20" t="str">
        <x:v>9.695M</x:v>
      </x:c>
    </x:row>
    <x:row r="35">
      <x:c r="A35" s="20" t="str">
        <x:v>rescue-692-pvp-2star</x:v>
      </x:c>
      <x:c r="B35" s="21" t="d">
        <x:v>2026-10-01T00:00:00.000Z</x:v>
      </x:c>
      <x:c r="C35" s="22" t="n">
        <x:v>10</x:v>
      </x:c>
      <x:c r="D35" s="20" t="str">
        <x:v>PTS scan card</x:v>
      </x:c>
      <x:c r="E35" s="20" t="str">
        <x:v>Rescue</x:v>
      </x:c>
      <x:c r="F35" s="20" t="str">
        <x:v>PvP</x:v>
      </x:c>
      <x:c r="G35" s="23" t="n">
        <x:v>2</x:v>
      </x:c>
      <x:c r="H35" s="23" t="n">
        <x:v>692</x:v>
      </x:c>
      <x:c r="I35" s="23" t="str">
        <x:v>Combat</x:v>
      </x:c>
      <x:c r="J35" s="23" t="n">
        <x:v>3</x:v>
      </x:c>
      <x:c r="K35" s="23" t="n">
        <x:v>53</x:v>
      </x:c>
      <x:c r="L35" s="23" t="n">
        <x:v>2795</x:v>
      </x:c>
      <x:c r="M35" s="20" t="str">
        <x:v>possible</x:v>
      </x:c>
      <x:c r="N35" s="23" t="n">
        <x:v>9331818</x:v>
      </x:c>
      <x:c r="O35" s="23" t="n">
        <x:v>4154978</x:v>
      </x:c>
      <x:c r="P35" s="23" t="n">
        <x:v>1394021</x:v>
      </x:c>
      <x:c r="Q35" s="23" t="n">
        <x:v>0</x:v>
      </x:c>
      <x:c r="R35" s="24" t="b">
        <x:v>1</x:v>
      </x:c>
      <x:c r="S35" s="23" t="n">
        <x:v>5834000</x:v>
      </x:c>
      <x:c r="T35" s="24" t="b">
        <x:v>1</x:v>
      </x:c>
      <x:c r="U35" s="24" t="b">
        <x:v>1</x:v>
      </x:c>
      <x:c r="V35" s="25" t="n">
        <x:f>N35+1.5*O35+3*P35+3*Q35</x:f>
        <x:v>19746348</x:v>
      </x:c>
      <x:c r="W35" s="25" t="n">
        <x:f>IF(S35="","",S35*3)</x:f>
        <x:v>17502000</x:v>
      </x:c>
      <x:c r="X35" s="25" t="n">
        <x:f>IF(OR(Z35="No",W35=""),"",V35-W35)</x:f>
        <x:v>2244348</x:v>
      </x:c>
      <x:c r="Y35" s="26" t="n">
        <x:f>IF(OR(Z35="No",W35=""),"",IFERROR(V35/W35,0))</x:f>
        <x:v>1.128233801851217</x:v>
      </x:c>
      <x:c r="Z35" s="27" t="str">
        <x:f>IF(AND(U35=TRUE,V35=0),"No","Yes")</x:f>
        <x:v>Yes</x:v>
      </x:c>
      <x:c r="AA35" s="27" t="str">
        <x:f>IF(Z35="No","Not comparable",IF(X35="","Unknown cost",IF(X35&gt;0,"Yes","No")))</x:f>
        <x:v>Yes</x:v>
      </x:c>
      <x:c r="AB35" s="20" t="str">
        <x:v>5.834M</x:v>
      </x:c>
    </x:row>
    <x:row r="36">
      <x:c r="A36" s="20" t="str">
        <x:v>delivery-crystal-568-pve-3star</x:v>
      </x:c>
      <x:c r="B36" s="21" t="d">
        <x:v>2026-10-01T00:00:00.000Z</x:v>
      </x:c>
      <x:c r="C36" s="22" t="n">
        <x:v>10</x:v>
      </x:c>
      <x:c r="D36" s="20" t="str">
        <x:v>PTS scan card</x:v>
      </x:c>
      <x:c r="E36" s="20" t="str">
        <x:v>Delivery: Crystal</x:v>
      </x:c>
      <x:c r="F36" s="20" t="str">
        <x:v>PvE</x:v>
      </x:c>
      <x:c r="G36" s="23" t="n">
        <x:v>3</x:v>
      </x:c>
      <x:c r="H36" s="23" t="n">
        <x:v>568</x:v>
      </x:c>
      <x:c r="I36" s="23" t="str">
        <x:v>Delivery</x:v>
      </x:c>
      <x:c r="J36" s="23" t="n">
        <x:v>1</x:v>
      </x:c>
      <x:c r="K36" s="23" t="n">
        <x:v>23</x:v>
      </x:c>
      <x:c r="L36" s="23" t="n">
        <x:v>2795</x:v>
      </x:c>
      <x:c r="M36" s="20" t="str">
        <x:v>possible</x:v>
      </x:c>
      <x:c r="N36" s="23" t="n">
        <x:v>0</x:v>
      </x:c>
      <x:c r="O36" s="23" t="n">
        <x:v>6464050</x:v>
      </x:c>
      <x:c r="P36" s="23" t="n">
        <x:v>0</x:v>
      </x:c>
      <x:c r="Q36" s="23" t="n">
        <x:v>0</x:v>
      </x:c>
      <x:c r="R36" s="24" t="b">
        <x:v>1</x:v>
      </x:c>
      <x:c r="S36" s="23" t="n">
        <x:v>2394000</x:v>
      </x:c>
      <x:c r="T36" s="24" t="b">
        <x:v>1</x:v>
      </x:c>
      <x:c r="U36" s="24" t="b">
        <x:v>0</x:v>
      </x:c>
      <x:c r="V36" s="25" t="n">
        <x:f>N36+1.5*O36+3*P36+3*Q36</x:f>
        <x:v>9696075</x:v>
      </x:c>
      <x:c r="W36" s="25" t="n">
        <x:f>IF(S36="","",S36*3)</x:f>
        <x:v>7182000</x:v>
      </x:c>
      <x:c r="X36" s="25" t="n">
        <x:f>IF(OR(Z36="No",W36=""),"",V36-W36)</x:f>
        <x:v>2514075</x:v>
      </x:c>
      <x:c r="Y36" s="26" t="n">
        <x:f>IF(OR(Z36="No",W36=""),"",IFERROR(V36/W36,0))</x:f>
        <x:v>1.3500522138680033</x:v>
      </x:c>
      <x:c r="Z36" s="27" t="str">
        <x:f>IF(AND(U36=TRUE,V36=0),"No","Yes")</x:f>
        <x:v>Yes</x:v>
      </x:c>
      <x:c r="AA36" s="27" t="str">
        <x:f>IF(Z36="No","Not comparable",IF(X36="","Unknown cost",IF(X36&gt;0,"Yes","No")))</x:f>
        <x:v>Yes</x:v>
      </x:c>
      <x:c r="AB36" s="20" t="str">
        <x:v>2.394M</x:v>
      </x:c>
    </x:row>
    <x:row r="37">
      <x:c r="A37" s="20" t="str">
        <x:v>medium-pirate-encounter-585-pve-3star</x:v>
      </x:c>
      <x:c r="B37" s="21" t="d">
        <x:v>2026-10-01T00:00:00.000Z</x:v>
      </x:c>
      <x:c r="C37" s="22" t="n">
        <x:v>10</x:v>
      </x:c>
      <x:c r="D37" s="20" t="str">
        <x:v>PTS scan card</x:v>
      </x:c>
      <x:c r="E37" s="20" t="str">
        <x:v>Medium Pirate Encounter</x:v>
      </x:c>
      <x:c r="F37" s="20" t="str">
        <x:v>PvE</x:v>
      </x:c>
      <x:c r="G37" s="23" t="n">
        <x:v>3</x:v>
      </x:c>
      <x:c r="H37" s="23" t="n">
        <x:v>585</x:v>
      </x:c>
      <x:c r="I37" s="23" t="str">
        <x:v>Combat</x:v>
      </x:c>
      <x:c r="J37" s="23" t="n">
        <x:v>5</x:v>
      </x:c>
      <x:c r="K37" s="23" t="n">
        <x:v>94</x:v>
      </x:c>
      <x:c r="L37" s="23" t="n">
        <x:v>2890</x:v>
      </x:c>
      <x:c r="M37" s="20" t="str">
        <x:v>possible</x:v>
      </x:c>
      <x:c r="N37" s="23" t="n">
        <x:v>0</x:v>
      </x:c>
      <x:c r="O37" s="23" t="n">
        <x:v>7731957</x:v>
      </x:c>
      <x:c r="P37" s="23" t="n">
        <x:v>5035646</x:v>
      </x:c>
      <x:c r="Q37" s="23" t="n">
        <x:v>0</x:v>
      </x:c>
      <x:c r="R37" s="24" t="b">
        <x:v>1</x:v>
      </x:c>
      <x:c r="S37" s="23" t="n">
        <x:v>12329000</x:v>
      </x:c>
      <x:c r="T37" s="24" t="b">
        <x:v>1</x:v>
      </x:c>
      <x:c r="U37" s="24" t="b">
        <x:v>1</x:v>
      </x:c>
      <x:c r="V37" s="25" t="n">
        <x:f>N37+1.5*O37+3*P37+3*Q37</x:f>
        <x:v>26704873.5</x:v>
      </x:c>
      <x:c r="W37" s="25" t="n">
        <x:f>IF(S37="","",S37*3)</x:f>
        <x:v>36987000</x:v>
      </x:c>
      <x:c r="X37" s="25" t="n">
        <x:f>IF(OR(Z37="No",W37=""),"",V37-W37)</x:f>
        <x:v>-10282126.5</x:v>
      </x:c>
      <x:c r="Y37" s="26" t="n">
        <x:f>IF(OR(Z37="No",W37=""),"",IFERROR(V37/W37,0))</x:f>
        <x:v>0.7220070159785871</x:v>
      </x:c>
      <x:c r="Z37" s="27" t="str">
        <x:f>IF(AND(U37=TRUE,V37=0),"No","Yes")</x:f>
        <x:v>Yes</x:v>
      </x:c>
      <x:c r="AA37" s="27" t="str">
        <x:f>IF(Z37="No","Not comparable",IF(X37="","Unknown cost",IF(X37&gt;0,"Yes","No")))</x:f>
        <x:v>No</x:v>
      </x:c>
      <x:c r="AB37" s="20" t="str">
        <x:v>12.329M</x:v>
      </x:c>
    </x:row>
    <x:row r="38">
      <x:c r="A38" s="20" t="str">
        <x:v>small-alien-encounter-629-pvp-1star</x:v>
      </x:c>
      <x:c r="B38" s="21" t="d">
        <x:v>2026-10-01T00:00:00.000Z</x:v>
      </x:c>
      <x:c r="C38" s="22" t="n">
        <x:v>10</x:v>
      </x:c>
      <x:c r="D38" s="20" t="str">
        <x:v>PTS scan card</x:v>
      </x:c>
      <x:c r="E38" s="20" t="str">
        <x:v>Small Alien Encounter</x:v>
      </x:c>
      <x:c r="F38" s="20" t="str">
        <x:v>PvP</x:v>
      </x:c>
      <x:c r="G38" s="23" t="n">
        <x:v>1</x:v>
      </x:c>
      <x:c r="H38" s="23" t="n">
        <x:v>629</x:v>
      </x:c>
      <x:c r="I38" s="23" t="str">
        <x:v>Combat</x:v>
      </x:c>
      <x:c r="J38" s="23" t="n">
        <x:v>5</x:v>
      </x:c>
      <x:c r="K38" s="23" t="n">
        <x:v>95</x:v>
      </x:c>
      <x:c r="L38" s="23" t="n">
        <x:v>3650</x:v>
      </x:c>
      <x:c r="M38" s="20" t="str">
        <x:v>possible</x:v>
      </x:c>
      <x:c r="N38" s="23" t="n">
        <x:v>0</x:v>
      </x:c>
      <x:c r="O38" s="23" t="n">
        <x:v>9501146</x:v>
      </x:c>
      <x:c r="P38" s="23" t="n">
        <x:v>6187878</x:v>
      </x:c>
      <x:c r="Q38" s="23" t="n">
        <x:v>0</x:v>
      </x:c>
      <x:c r="R38" s="24" t="b">
        <x:v>1</x:v>
      </x:c>
      <x:c r="S38" s="23" t="n">
        <x:v>4419000</x:v>
      </x:c>
      <x:c r="T38" s="24" t="b">
        <x:v>1</x:v>
      </x:c>
      <x:c r="U38" s="24" t="b">
        <x:v>1</x:v>
      </x:c>
      <x:c r="V38" s="25" t="n">
        <x:f>N38+1.5*O38+3*P38+3*Q38</x:f>
        <x:v>32815353</x:v>
      </x:c>
      <x:c r="W38" s="25" t="n">
        <x:f>IF(S38="","",S38*3)</x:f>
        <x:v>13257000</x:v>
      </x:c>
      <x:c r="X38" s="25" t="n">
        <x:f>IF(OR(Z38="No",W38=""),"",V38-W38)</x:f>
        <x:v>19558353</x:v>
      </x:c>
      <x:c r="Y38" s="26" t="n">
        <x:f>IF(OR(Z38="No",W38=""),"",IFERROR(V38/W38,0))</x:f>
        <x:v>2.47532269744286</x:v>
      </x:c>
      <x:c r="Z38" s="27" t="str">
        <x:f>IF(AND(U38=TRUE,V38=0),"No","Yes")</x:f>
        <x:v>Yes</x:v>
      </x:c>
      <x:c r="AA38" s="27" t="str">
        <x:f>IF(Z38="No","Not comparable",IF(X38="","Unknown cost",IF(X38&gt;0,"Yes","No")))</x:f>
        <x:v>Yes</x:v>
      </x:c>
      <x:c r="AB38" s="20" t="str">
        <x:v>4.419M</x:v>
      </x:c>
    </x:row>
    <x:row r="39">
      <x:c r="A39" s="20" t="str">
        <x:v>medium-alien-encounter-478-pve-4star</x:v>
      </x:c>
      <x:c r="B39" s="21" t="d">
        <x:v>2026-10-01T00:00:00.000Z</x:v>
      </x:c>
      <x:c r="C39" s="22" t="n">
        <x:v>10</x:v>
      </x:c>
      <x:c r="D39" s="20" t="str">
        <x:v>PTS scan card</x:v>
      </x:c>
      <x:c r="E39" s="20" t="str">
        <x:v>Medium Alien Encounter</x:v>
      </x:c>
      <x:c r="F39" s="20" t="str">
        <x:v>PvE</x:v>
      </x:c>
      <x:c r="G39" s="23" t="n">
        <x:v>4</x:v>
      </x:c>
      <x:c r="H39" s="23" t="n">
        <x:v>478</x:v>
      </x:c>
      <x:c r="I39" s="23" t="str">
        <x:v>Combat</x:v>
      </x:c>
      <x:c r="J39" s="23" t="n">
        <x:v>1</x:v>
      </x:c>
      <x:c r="K39" s="23" t="n">
        <x:v>20</x:v>
      </x:c>
      <x:c r="L39" s="23" t="n">
        <x:v>3080</x:v>
      </x:c>
      <x:c r="M39" s="20" t="str">
        <x:v>possible</x:v>
      </x:c>
      <x:c r="N39" s="23" t="n">
        <x:v>10751386</x:v>
      </x:c>
      <x:c r="O39" s="23" t="n">
        <x:v>0</x:v>
      </x:c>
      <x:c r="P39" s="23" t="n">
        <x:v>0</x:v>
      </x:c>
      <x:c r="Q39" s="23" t="n">
        <x:v>0</x:v>
      </x:c>
      <x:c r="R39" s="24" t="b">
        <x:v>1</x:v>
      </x:c>
      <x:c r="S39" s="23" t="n">
        <x:v>2686000</x:v>
      </x:c>
      <x:c r="T39" s="24" t="b">
        <x:v>1</x:v>
      </x:c>
      <x:c r="U39" s="24" t="b">
        <x:v>0</x:v>
      </x:c>
      <x:c r="V39" s="25" t="n">
        <x:f>N39+1.5*O39+3*P39+3*Q39</x:f>
        <x:v>10751386</x:v>
      </x:c>
      <x:c r="W39" s="25" t="n">
        <x:f>IF(S39="","",S39*3)</x:f>
        <x:v>8058000</x:v>
      </x:c>
      <x:c r="X39" s="25" t="n">
        <x:f>IF(OR(Z39="No",W39=""),"",V39-W39)</x:f>
        <x:v>2693386</x:v>
      </x:c>
      <x:c r="Y39" s="26" t="n">
        <x:f>IF(OR(Z39="No",W39=""),"",IFERROR(V39/W39,0))</x:f>
        <x:v>1.3342499379498636</x:v>
      </x:c>
      <x:c r="Z39" s="27" t="str">
        <x:f>IF(AND(U39=TRUE,V39=0),"No","Yes")</x:f>
        <x:v>Yes</x:v>
      </x:c>
      <x:c r="AA39" s="27" t="str">
        <x:f>IF(Z39="No","Not comparable",IF(X39="","Unknown cost",IF(X39&gt;0,"Yes","No")))</x:f>
        <x:v>Yes</x:v>
      </x:c>
      <x:c r="AB39" s="20" t="str">
        <x:v>2.686M</x:v>
      </x:c>
    </x:row>
    <x:row r="40">
      <x:c r="A40" s="20" t="str">
        <x:v>delivery-metal-522-pve-4star</x:v>
      </x:c>
      <x:c r="B40" s="21" t="d">
        <x:v>2026-10-01T00:00:00.000Z</x:v>
      </x:c>
      <x:c r="C40" s="22" t="n">
        <x:v>10</x:v>
      </x:c>
      <x:c r="D40" s="20" t="str">
        <x:v>PTS scan card</x:v>
      </x:c>
      <x:c r="E40" s="20" t="str">
        <x:v>Delivery: Metal</x:v>
      </x:c>
      <x:c r="F40" s="20" t="str">
        <x:v>PvE</x:v>
      </x:c>
      <x:c r="G40" s="23" t="n">
        <x:v>4</x:v>
      </x:c>
      <x:c r="H40" s="23" t="n">
        <x:v>522</x:v>
      </x:c>
      <x:c r="I40" s="23" t="str">
        <x:v>Delivery</x:v>
      </x:c>
      <x:c r="J40" s="23" t="n">
        <x:v>6</x:v>
      </x:c>
      <x:c r="K40" s="23" t="n">
        <x:v>134</x:v>
      </x:c>
      <x:c r="L40" s="23" t="n">
        <x:v>3175</x:v>
      </x:c>
      <x:c r="M40" s="20" t="str">
        <x:v>possible</x:v>
      </x:c>
      <x:c r="N40" s="23" t="n">
        <x:v>77352840</x:v>
      </x:c>
      <x:c r="O40" s="23" t="n">
        <x:v>0</x:v>
      </x:c>
      <x:c r="P40" s="23" t="n">
        <x:v>0</x:v>
      </x:c>
      <x:c r="Q40" s="23" t="n">
        <x:v>0</x:v>
      </x:c>
      <x:c r="R40" s="24" t="b">
        <x:v>1</x:v>
      </x:c>
      <x:c r="S40" s="23" t="n">
        <x:v>17603000</x:v>
      </x:c>
      <x:c r="T40" s="24" t="b">
        <x:v>1</x:v>
      </x:c>
      <x:c r="U40" s="24" t="b">
        <x:v>0</x:v>
      </x:c>
      <x:c r="V40" s="25" t="n">
        <x:f>N40+1.5*O40+3*P40+3*Q40</x:f>
        <x:v>77352840</x:v>
      </x:c>
      <x:c r="W40" s="25" t="n">
        <x:f>IF(S40="","",S40*3)</x:f>
        <x:v>52809000</x:v>
      </x:c>
      <x:c r="X40" s="25" t="n">
        <x:f>IF(OR(Z40="No",W40=""),"",V40-W40)</x:f>
        <x:v>24543840</x:v>
      </x:c>
      <x:c r="Y40" s="26" t="n">
        <x:f>IF(OR(Z40="No",W40=""),"",IFERROR(V40/W40,0))</x:f>
        <x:v>1.464766233028461</x:v>
      </x:c>
      <x:c r="Z40" s="27" t="str">
        <x:f>IF(AND(U40=TRUE,V40=0),"No","Yes")</x:f>
        <x:v>Yes</x:v>
      </x:c>
      <x:c r="AA40" s="27" t="str">
        <x:f>IF(Z40="No","Not comparable",IF(X40="","Unknown cost",IF(X40&gt;0,"Yes","No")))</x:f>
        <x:v>Yes</x:v>
      </x:c>
      <x:c r="AB40" s="20" t="str">
        <x:v>17.603M</x:v>
      </x:c>
    </x:row>
    <x:row r="41">
      <x:c r="A41" s="20" t="str">
        <x:v>resource-metal-698-pvp-3star</x:v>
      </x:c>
      <x:c r="B41" s="21" t="d">
        <x:v>2026-10-01T00:00:00.000Z</x:v>
      </x:c>
      <x:c r="C41" s="22" t="n">
        <x:v>10</x:v>
      </x:c>
      <x:c r="D41" s="20" t="str">
        <x:v>PTS scan card</x:v>
      </x:c>
      <x:c r="E41" s="20" t="str">
        <x:v>Resource: Metal</x:v>
      </x:c>
      <x:c r="F41" s="20" t="str">
        <x:v>PvP</x:v>
      </x:c>
      <x:c r="G41" s="23" t="n">
        <x:v>3</x:v>
      </x:c>
      <x:c r="H41" s="23" t="n">
        <x:v>698</x:v>
      </x:c>
      <x:c r="I41" s="23" t="str">
        <x:v>Combat</x:v>
      </x:c>
      <x:c r="J41" s="23" t="n">
        <x:v>1</x:v>
      </x:c>
      <x:c r="K41" s="23" t="n">
        <x:v>17</x:v>
      </x:c>
      <x:c r="L41" s="23" t="n">
        <x:v>3175</x:v>
      </x:c>
      <x:c r="M41" s="20" t="str">
        <x:v>possible</x:v>
      </x:c>
      <x:c r="N41" s="23" t="n">
        <x:v>23549584</x:v>
      </x:c>
      <x:c r="O41" s="23" t="n">
        <x:v>0</x:v>
      </x:c>
      <x:c r="P41" s="23" t="n">
        <x:v>0</x:v>
      </x:c>
      <x:c r="Q41" s="23" t="n">
        <x:v>0</x:v>
      </x:c>
      <x:c r="R41" s="24" t="b">
        <x:v>1</x:v>
      </x:c>
      <x:c r="S41" s="23" t="n">
        <x:v>2942000</x:v>
      </x:c>
      <x:c r="T41" s="24" t="b">
        <x:v>1</x:v>
      </x:c>
      <x:c r="U41" s="24" t="b">
        <x:v>0</x:v>
      </x:c>
      <x:c r="V41" s="25" t="n">
        <x:f>N41+1.5*O41+3*P41+3*Q41</x:f>
        <x:v>23549584</x:v>
      </x:c>
      <x:c r="W41" s="25" t="n">
        <x:f>IF(S41="","",S41*3)</x:f>
        <x:v>8826000</x:v>
      </x:c>
      <x:c r="X41" s="25" t="n">
        <x:f>IF(OR(Z41="No",W41=""),"",V41-W41)</x:f>
        <x:v>14723584</x:v>
      </x:c>
      <x:c r="Y41" s="26" t="n">
        <x:f>IF(OR(Z41="No",W41=""),"",IFERROR(V41/W41,0))</x:f>
        <x:v>2.6682057557217314</x:v>
      </x:c>
      <x:c r="Z41" s="27" t="str">
        <x:f>IF(AND(U41=TRUE,V41=0),"No","Yes")</x:f>
        <x:v>Yes</x:v>
      </x:c>
      <x:c r="AA41" s="27" t="str">
        <x:f>IF(Z41="No","Not comparable",IF(X41="","Unknown cost",IF(X41&gt;0,"Yes","No")))</x:f>
        <x:v>Yes</x:v>
      </x:c>
      <x:c r="AB41" s="20" t="str">
        <x:v>2.942M</x:v>
      </x:c>
    </x:row>
    <x:row r="42">
      <x:c r="A42" s="20" t="str">
        <x:v>delivery-metal-628-pvp-1star</x:v>
      </x:c>
      <x:c r="B42" s="21" t="d">
        <x:v>2026-10-01T00:00:00.000Z</x:v>
      </x:c>
      <x:c r="C42" s="22" t="n">
        <x:v>10</x:v>
      </x:c>
      <x:c r="D42" s="20" t="str">
        <x:v>PTS scan card</x:v>
      </x:c>
      <x:c r="E42" s="20" t="str">
        <x:v>Delivery: Metal</x:v>
      </x:c>
      <x:c r="F42" s="20" t="str">
        <x:v>PvP</x:v>
      </x:c>
      <x:c r="G42" s="23" t="n">
        <x:v>1</x:v>
      </x:c>
      <x:c r="H42" s="23" t="n">
        <x:v>628</x:v>
      </x:c>
      <x:c r="I42" s="23" t="str">
        <x:v>Delivery</x:v>
      </x:c>
      <x:c r="J42" s="23" t="n">
        <x:v>2</x:v>
      </x:c>
      <x:c r="K42" s="23" t="n">
        <x:v>44</x:v>
      </x:c>
      <x:c r="L42" s="23" t="n">
        <x:v>3365</x:v>
      </x:c>
      <x:c r="M42" s="20" t="str">
        <x:v>possible</x:v>
      </x:c>
      <x:c r="N42" s="23" t="n">
        <x:v>14402214</x:v>
      </x:c>
      <x:c r="O42" s="23" t="n">
        <x:v>0</x:v>
      </x:c>
      <x:c r="P42" s="23" t="n">
        <x:v>0</x:v>
      </x:c>
      <x:c r="Q42" s="23" t="n">
        <x:v>0</x:v>
      </x:c>
      <x:c r="R42" s="24" t="b">
        <x:v>1</x:v>
      </x:c>
      <x:c r="S42" s="23" t="n">
        <x:v>1764000</x:v>
      </x:c>
      <x:c r="T42" s="24" t="b">
        <x:v>1</x:v>
      </x:c>
      <x:c r="U42" s="24" t="b">
        <x:v>0</x:v>
      </x:c>
      <x:c r="V42" s="25" t="n">
        <x:f>N42+1.5*O42+3*P42+3*Q42</x:f>
        <x:v>14402214</x:v>
      </x:c>
      <x:c r="W42" s="25" t="n">
        <x:f>IF(S42="","",S42*3)</x:f>
        <x:v>5292000</x:v>
      </x:c>
      <x:c r="X42" s="25" t="n">
        <x:f>IF(OR(Z42="No",W42=""),"",V42-W42)</x:f>
        <x:v>9110214</x:v>
      </x:c>
      <x:c r="Y42" s="26" t="n">
        <x:f>IF(OR(Z42="No",W42=""),"",IFERROR(V42/W42,0))</x:f>
        <x:v>2.7215068027210885</x:v>
      </x:c>
      <x:c r="Z42" s="27" t="str">
        <x:f>IF(AND(U42=TRUE,V42=0),"No","Yes")</x:f>
        <x:v>Yes</x:v>
      </x:c>
      <x:c r="AA42" s="27" t="str">
        <x:f>IF(Z42="No","Not comparable",IF(X42="","Unknown cost",IF(X42&gt;0,"Yes","No")))</x:f>
        <x:v>Yes</x:v>
      </x:c>
      <x:c r="AB42" s="20" t="str">
        <x:v>1.764M</x:v>
      </x:c>
    </x:row>
    <x:row r="43">
      <x:c r="A43" s="20" t="str">
        <x:v>delivery-metal-685-pve-2star</x:v>
      </x:c>
      <x:c r="B43" s="21" t="d">
        <x:v>2026-10-01T00:00:00.000Z</x:v>
      </x:c>
      <x:c r="C43" s="22" t="n">
        <x:v>10</x:v>
      </x:c>
      <x:c r="D43" s="20" t="str">
        <x:v>PTS scan card</x:v>
      </x:c>
      <x:c r="E43" s="20" t="str">
        <x:v>Delivery: Metal</x:v>
      </x:c>
      <x:c r="F43" s="20" t="str">
        <x:v>PvE</x:v>
      </x:c>
      <x:c r="G43" s="23" t="n">
        <x:v>2</x:v>
      </x:c>
      <x:c r="H43" s="23" t="n">
        <x:v>685</x:v>
      </x:c>
      <x:c r="I43" s="23" t="str">
        <x:v>Delivery</x:v>
      </x:c>
      <x:c r="J43" s="23" t="n">
        <x:v>5</x:v>
      </x:c>
      <x:c r="K43" s="23" t="n">
        <x:v>107</x:v>
      </x:c>
      <x:c r="L43" s="23" t="n">
        <x:v>2795</x:v>
      </x:c>
      <x:c r="M43" s="20" t="str">
        <x:v>possible</x:v>
      </x:c>
      <x:c r="N43" s="23" t="n">
        <x:v>41539340</x:v>
      </x:c>
      <x:c r="O43" s="23" t="n">
        <x:v>0</x:v>
      </x:c>
      <x:c r="P43" s="23" t="n">
        <x:v>0</x:v>
      </x:c>
      <x:c r="Q43" s="23" t="n">
        <x:v>0</x:v>
      </x:c>
      <x:c r="R43" s="24" t="b">
        <x:v>1</x:v>
      </x:c>
      <x:c r="S43" s="23" t="n">
        <x:v>9625000</x:v>
      </x:c>
      <x:c r="T43" s="24" t="b">
        <x:v>1</x:v>
      </x:c>
      <x:c r="U43" s="24" t="b">
        <x:v>0</x:v>
      </x:c>
      <x:c r="V43" s="25" t="n">
        <x:f>N43+1.5*O43+3*P43+3*Q43</x:f>
        <x:v>41539340</x:v>
      </x:c>
      <x:c r="W43" s="25" t="n">
        <x:f>IF(S43="","",S43*3)</x:f>
        <x:v>28875000</x:v>
      </x:c>
      <x:c r="X43" s="25" t="n">
        <x:f>IF(OR(Z43="No",W43=""),"",V43-W43)</x:f>
        <x:v>12664340</x:v>
      </x:c>
      <x:c r="Y43" s="26" t="n">
        <x:f>IF(OR(Z43="No",W43=""),"",IFERROR(V43/W43,0))</x:f>
        <x:v>1.4385918614718616</x:v>
      </x:c>
      <x:c r="Z43" s="27" t="str">
        <x:f>IF(AND(U43=TRUE,V43=0),"No","Yes")</x:f>
        <x:v>Yes</x:v>
      </x:c>
      <x:c r="AA43" s="27" t="str">
        <x:f>IF(Z43="No","Not comparable",IF(X43="","Unknown cost",IF(X43&gt;0,"Yes","No")))</x:f>
        <x:v>Yes</x:v>
      </x:c>
      <x:c r="AB43" s="20" t="str">
        <x:v>9.625M</x:v>
      </x:c>
    </x:row>
    <x:row r="44">
      <x:c r="A44" s="20" t="str">
        <x:v>delivery-crystal-535-pvp-2star</x:v>
      </x:c>
      <x:c r="B44" s="21" t="d">
        <x:v>2026-10-01T00:00:00.000Z</x:v>
      </x:c>
      <x:c r="C44" s="22" t="n">
        <x:v>10</x:v>
      </x:c>
      <x:c r="D44" s="20" t="str">
        <x:v>PTS scan card</x:v>
      </x:c>
      <x:c r="E44" s="20" t="str">
        <x:v>Delivery: Crystal</x:v>
      </x:c>
      <x:c r="F44" s="20" t="str">
        <x:v>PvP</x:v>
      </x:c>
      <x:c r="G44" s="23" t="n">
        <x:v>2</x:v>
      </x:c>
      <x:c r="H44" s="23" t="n">
        <x:v>535</x:v>
      </x:c>
      <x:c r="I44" s="23" t="str">
        <x:v>Delivery</x:v>
      </x:c>
      <x:c r="J44" s="23" t="n">
        <x:v>3</x:v>
      </x:c>
      <x:c r="K44" s="23" t="n">
        <x:v>68</x:v>
      </x:c>
      <x:c r="L44" s="23" t="n">
        <x:v>3365</x:v>
      </x:c>
      <x:c r="M44" s="20" t="str">
        <x:v>possible</x:v>
      </x:c>
      <x:c r="N44" s="23" t="n">
        <x:v>0</x:v>
      </x:c>
      <x:c r="O44" s="23" t="n">
        <x:v>25309053</x:v>
      </x:c>
      <x:c r="P44" s="23" t="n">
        <x:v>0</x:v>
      </x:c>
      <x:c r="Q44" s="23" t="n">
        <x:v>0</x:v>
      </x:c>
      <x:c r="R44" s="24" t="b">
        <x:v>1</x:v>
      </x:c>
      <x:c r="S44" s="23" t="n">
        <x:v>4510000</x:v>
      </x:c>
      <x:c r="T44" s="24" t="b">
        <x:v>1</x:v>
      </x:c>
      <x:c r="U44" s="24" t="b">
        <x:v>0</x:v>
      </x:c>
      <x:c r="V44" s="25" t="n">
        <x:f>N44+1.5*O44+3*P44+3*Q44</x:f>
        <x:v>37963579.5</x:v>
      </x:c>
      <x:c r="W44" s="25" t="n">
        <x:f>IF(S44="","",S44*3)</x:f>
        <x:v>13530000</x:v>
      </x:c>
      <x:c r="X44" s="25" t="n">
        <x:f>IF(OR(Z44="No",W44=""),"",V44-W44)</x:f>
        <x:v>24433579.5</x:v>
      </x:c>
      <x:c r="Y44" s="26" t="n">
        <x:f>IF(OR(Z44="No",W44=""),"",IFERROR(V44/W44,0))</x:f>
        <x:v>2.805881707317073</x:v>
      </x:c>
      <x:c r="Z44" s="27" t="str">
        <x:f>IF(AND(U44=TRUE,V44=0),"No","Yes")</x:f>
        <x:v>Yes</x:v>
      </x:c>
      <x:c r="AA44" s="27" t="str">
        <x:f>IF(Z44="No","Not comparable",IF(X44="","Unknown cost",IF(X44&gt;0,"Yes","No")))</x:f>
        <x:v>Yes</x:v>
      </x:c>
      <x:c r="AB44" s="20" t="str">
        <x:v>4.51M</x:v>
      </x:c>
    </x:row>
    <x:row r="45">
      <x:c r="A45" s="20" t="str">
        <x:v>delivery-deuterium-577-pve-1star</x:v>
      </x:c>
      <x:c r="B45" s="21" t="d">
        <x:v>2026-10-01T00:00:00.000Z</x:v>
      </x:c>
      <x:c r="C45" s="22" t="n">
        <x:v>10</x:v>
      </x:c>
      <x:c r="D45" s="20" t="str">
        <x:v>PTS scan card</x:v>
      </x:c>
      <x:c r="E45" s="20" t="str">
        <x:v>Delivery: Deuterium</x:v>
      </x:c>
      <x:c r="F45" s="20" t="str">
        <x:v>PvE</x:v>
      </x:c>
      <x:c r="G45" s="23" t="n">
        <x:v>1</x:v>
      </x:c>
      <x:c r="H45" s="23" t="n">
        <x:v>577</x:v>
      </x:c>
      <x:c r="I45" s="23" t="str">
        <x:v>Delivery</x:v>
      </x:c>
      <x:c r="J45" s="23" t="n">
        <x:v>6</x:v>
      </x:c>
      <x:c r="K45" s="23" t="n">
        <x:v>127</x:v>
      </x:c>
      <x:c r="L45" s="23" t="n">
        <x:v>3175</x:v>
      </x:c>
      <x:c r="M45" s="20" t="str">
        <x:v>possible</x:v>
      </x:c>
      <x:c r="N45" s="23" t="n">
        <x:v>0</x:v>
      </x:c>
      <x:c r="O45" s="23" t="n">
        <x:v>0</x:v>
      </x:c>
      <x:c r="P45" s="23" t="n">
        <x:v>9391734</x:v>
      </x:c>
      <x:c r="Q45" s="23" t="n">
        <x:v>0</x:v>
      </x:c>
      <x:c r="R45" s="24" t="b">
        <x:v>1</x:v>
      </x:c>
      <x:c r="S45" s="23" t="n">
        <x:v>4864000</x:v>
      </x:c>
      <x:c r="T45" s="24" t="b">
        <x:v>1</x:v>
      </x:c>
      <x:c r="U45" s="24" t="b">
        <x:v>0</x:v>
      </x:c>
      <x:c r="V45" s="25" t="n">
        <x:f>N45+1.5*O45+3*P45+3*Q45</x:f>
        <x:v>28175202</x:v>
      </x:c>
      <x:c r="W45" s="25" t="n">
        <x:f>IF(S45="","",S45*3)</x:f>
        <x:v>14592000</x:v>
      </x:c>
      <x:c r="X45" s="25" t="n">
        <x:f>IF(OR(Z45="No",W45=""),"",V45-W45)</x:f>
        <x:v>13583202</x:v>
      </x:c>
      <x:c r="Y45" s="26" t="n">
        <x:f>IF(OR(Z45="No",W45=""),"",IFERROR(V45/W45,0))</x:f>
        <x:v>1.930866365131579</x:v>
      </x:c>
      <x:c r="Z45" s="27" t="str">
        <x:f>IF(AND(U45=TRUE,V45=0),"No","Yes")</x:f>
        <x:v>Yes</x:v>
      </x:c>
      <x:c r="AA45" s="27" t="str">
        <x:f>IF(Z45="No","Not comparable",IF(X45="","Unknown cost",IF(X45&gt;0,"Yes","No")))</x:f>
        <x:v>Yes</x:v>
      </x:c>
      <x:c r="AB45" s="20" t="str">
        <x:v>4.864M</x:v>
      </x:c>
    </x:row>
    <x:row r="46">
      <x:c r="A46" s="20" t="str">
        <x:v>small-alien-encounter-643-pve-1star</x:v>
      </x:c>
      <x:c r="B46" s="21" t="d">
        <x:v>2026-10-01T00:00:00.000Z</x:v>
      </x:c>
      <x:c r="C46" s="22" t="n">
        <x:v>10</x:v>
      </x:c>
      <x:c r="D46" s="20" t="str">
        <x:v>PTS scan card</x:v>
      </x:c>
      <x:c r="E46" s="20" t="str">
        <x:v>Small Alien Encounter</x:v>
      </x:c>
      <x:c r="F46" s="20" t="str">
        <x:v>PvE</x:v>
      </x:c>
      <x:c r="G46" s="23" t="n">
        <x:v>1</x:v>
      </x:c>
      <x:c r="H46" s="23" t="n">
        <x:v>643</x:v>
      </x:c>
      <x:c r="I46" s="23" t="str">
        <x:v>Combat</x:v>
      </x:c>
      <x:c r="J46" s="23" t="n">
        <x:v>2</x:v>
      </x:c>
      <x:c r="K46" s="23" t="n">
        <x:v>39</x:v>
      </x:c>
      <x:c r="L46" s="23" t="n">
        <x:v>3175</x:v>
      </x:c>
      <x:c r="M46" s="20" t="str">
        <x:v>possible</x:v>
      </x:c>
      <x:c r="N46" s="23" t="n">
        <x:v>3402973</x:v>
      </x:c>
      <x:c r="O46" s="23" t="n">
        <x:v>2295710</x:v>
      </x:c>
      <x:c r="P46" s="23" t="n">
        <x:v>0</x:v>
      </x:c>
      <x:c r="Q46" s="23" t="n">
        <x:v>0</x:v>
      </x:c>
      <x:c r="R46" s="24" t="b">
        <x:v>1</x:v>
      </x:c>
      <x:c r="S46" s="23" t="n">
        <x:v>1806000</x:v>
      </x:c>
      <x:c r="T46" s="24" t="b">
        <x:v>1</x:v>
      </x:c>
      <x:c r="U46" s="24" t="b">
        <x:v>0</x:v>
      </x:c>
      <x:c r="V46" s="25" t="n">
        <x:f>N46+1.5*O46+3*P46+3*Q46</x:f>
        <x:v>6846538</x:v>
      </x:c>
      <x:c r="W46" s="25" t="n">
        <x:f>IF(S46="","",S46*3)</x:f>
        <x:v>5418000</x:v>
      </x:c>
      <x:c r="X46" s="25" t="n">
        <x:f>IF(OR(Z46="No",W46=""),"",V46-W46)</x:f>
        <x:v>1428538</x:v>
      </x:c>
      <x:c r="Y46" s="26" t="n">
        <x:f>IF(OR(Z46="No",W46=""),"",IFERROR(V46/W46,0))</x:f>
        <x:v>1.2636651901070506</x:v>
      </x:c>
      <x:c r="Z46" s="27" t="str">
        <x:f>IF(AND(U46=TRUE,V46=0),"No","Yes")</x:f>
        <x:v>Yes</x:v>
      </x:c>
      <x:c r="AA46" s="27" t="str">
        <x:f>IF(Z46="No","Not comparable",IF(X46="","Unknown cost",IF(X46&gt;0,"Yes","No")))</x:f>
        <x:v>Yes</x:v>
      </x:c>
      <x:c r="AB46" s="20" t="str">
        <x:v>1.806M</x:v>
      </x:c>
    </x:row>
    <x:row r="47">
      <x:c r="A47" s="20" t="str">
        <x:v>alien-encounter-534-pvp-1star</x:v>
      </x:c>
      <x:c r="B47" s="21" t="d">
        <x:v>2026-10-01T00:00:00.000Z</x:v>
      </x:c>
      <x:c r="C47" s="22" t="n">
        <x:v>50</x:v>
      </x:c>
      <x:c r="D47" s="20" t="str">
        <x:v>PTS scan card</x:v>
      </x:c>
      <x:c r="E47" s="20" t="str">
        <x:v>Alien Encounter</x:v>
      </x:c>
      <x:c r="F47" s="20" t="str">
        <x:v>PvP</x:v>
      </x:c>
      <x:c r="G47" s="23" t="n">
        <x:v>1</x:v>
      </x:c>
      <x:c r="H47" s="23" t="n">
        <x:v>534</x:v>
      </x:c>
      <x:c r="I47" s="23" t="str">
        <x:v>Combat</x:v>
      </x:c>
      <x:c r="J47" s="23" t="n">
        <x:v>6</x:v>
      </x:c>
      <x:c r="K47" s="23" t="n">
        <x:v>131</x:v>
      </x:c>
      <x:c r="L47" s="23" t="n">
        <x:v>3650</x:v>
      </x:c>
      <x:c r="M47" s="20" t="str">
        <x:v>possible</x:v>
      </x:c>
      <x:c r="N47" s="23" t="n">
        <x:v>27391524</x:v>
      </x:c>
      <x:c r="O47" s="23" t="n">
        <x:v>4065344</x:v>
      </x:c>
      <x:c r="P47" s="23" t="n">
        <x:v>9387178</x:v>
      </x:c>
      <x:c r="Q47" s="23" t="n">
        <x:v>0</x:v>
      </x:c>
      <x:c r="R47" s="24" t="b">
        <x:v>1</x:v>
      </x:c>
      <x:c r="S47" s="23" t="n">
        <x:v>4502000</x:v>
      </x:c>
      <x:c r="T47" s="24" t="b">
        <x:v>1</x:v>
      </x:c>
      <x:c r="U47" s="24" t="b">
        <x:v>1</x:v>
      </x:c>
      <x:c r="V47" s="25" t="n">
        <x:f>N47+1.5*O47+3*P47+3*Q47</x:f>
        <x:v>61651074</x:v>
      </x:c>
      <x:c r="W47" s="25" t="n">
        <x:f>IF(S47="","",S47*3)</x:f>
        <x:v>13506000</x:v>
      </x:c>
      <x:c r="X47" s="25" t="n">
        <x:f>IF(OR(Z47="No",W47=""),"",V47-W47)</x:f>
        <x:v>48145074</x:v>
      </x:c>
      <x:c r="Y47" s="26" t="n">
        <x:f>IF(OR(Z47="No",W47=""),"",IFERROR(V47/W47,0))</x:f>
        <x:v>4.564717458907152</x:v>
      </x:c>
      <x:c r="Z47" s="27" t="str">
        <x:f>IF(AND(U47=TRUE,V47=0),"No","Yes")</x:f>
        <x:v>Yes</x:v>
      </x:c>
      <x:c r="AA47" s="27" t="str">
        <x:f>IF(Z47="No","Not comparable",IF(X47="","Unknown cost",IF(X47&gt;0,"Yes","No")))</x:f>
        <x:v>Yes</x:v>
      </x:c>
      <x:c r="AB47" s="20" t="str">
        <x:v>4.502M</x:v>
      </x:c>
    </x:row>
    <x:row r="48">
      <x:c r="A48" s="20" t="str">
        <x:v>rescue-706-pve-5star</x:v>
      </x:c>
      <x:c r="B48" s="21" t="d">
        <x:v>2026-10-01T00:00:00.000Z</x:v>
      </x:c>
      <x:c r="C48" s="22" t="n">
        <x:v>50</x:v>
      </x:c>
      <x:c r="D48" s="20" t="str">
        <x:v>PTS scan card</x:v>
      </x:c>
      <x:c r="E48" s="20" t="str">
        <x:v>Rescue</x:v>
      </x:c>
      <x:c r="F48" s="20" t="str">
        <x:v>PvE</x:v>
      </x:c>
      <x:c r="G48" s="23" t="n">
        <x:v>5</x:v>
      </x:c>
      <x:c r="H48" s="23" t="n">
        <x:v>706</x:v>
      </x:c>
      <x:c r="I48" s="23" t="str">
        <x:v>Combat</x:v>
      </x:c>
      <x:c r="J48" s="23" t="n">
        <x:v>1</x:v>
      </x:c>
      <x:c r="K48" s="23" t="n">
        <x:v>20</x:v>
      </x:c>
      <x:c r="L48" s="23" t="n">
        <x:v>6880</x:v>
      </x:c>
      <x:c r="M48" s="20" t="str">
        <x:v>possible</x:v>
      </x:c>
      <x:c r="N48" s="23" t="n">
        <x:v>0</x:v>
      </x:c>
      <x:c r="O48" s="23" t="n">
        <x:v>0</x:v>
      </x:c>
      <x:c r="P48" s="23" t="n">
        <x:v>0</x:v>
      </x:c>
      <x:c r="Q48" s="23" t="n">
        <x:v>0</x:v>
      </x:c>
      <x:c r="R48" s="24" t="b">
        <x:v>1</x:v>
      </x:c>
      <x:c r="S48" s="23" t="n">
        <x:v>4960000</x:v>
      </x:c>
      <x:c r="T48" s="24" t="b">
        <x:v>1</x:v>
      </x:c>
      <x:c r="U48" s="24" t="b">
        <x:v>1</x:v>
      </x:c>
      <x:c r="V48" s="25" t="n">
        <x:f>N48+1.5*O48+3*P48+3*Q48</x:f>
        <x:v>0</x:v>
      </x:c>
      <x:c r="W48" s="25" t="n">
        <x:f>IF(S48="","",S48*3)</x:f>
        <x:v>14880000</x:v>
      </x:c>
      <x:c r="X48" s="25" t="str">
        <x:f>IF(OR(Z48="No",W48=""),"",V48-W48)</x:f>
      </x:c>
      <x:c r="Y48" s="26" t="str">
        <x:f>IF(OR(Z48="No",W48=""),"",IFERROR(V48/W48,0))</x:f>
      </x:c>
      <x:c r="Z48" s="27" t="str">
        <x:f>IF(AND(U48=TRUE,V48=0),"No","Yes")</x:f>
        <x:v>No</x:v>
      </x:c>
      <x:c r="AA48" s="27" t="str">
        <x:f>IF(Z48="No","Not comparable",IF(X48="","Unknown cost",IF(X48&gt;0,"Yes","No")))</x:f>
        <x:v>Not comparable</x:v>
      </x:c>
      <x:c r="AB48" s="20" t="str">
        <x:v>4.96M</x:v>
      </x:c>
    </x:row>
    <x:row r="49">
      <x:c r="A49" s="20" t="str">
        <x:v>medium-alien-encounter-610-pve-1star</x:v>
      </x:c>
      <x:c r="B49" s="21" t="d">
        <x:v>2026-10-01T00:00:00.000Z</x:v>
      </x:c>
      <x:c r="C49" s="22" t="n">
        <x:v>50</x:v>
      </x:c>
      <x:c r="D49" s="20" t="str">
        <x:v>PTS scan card</x:v>
      </x:c>
      <x:c r="E49" s="20" t="str">
        <x:v>Medium Alien Encounter</x:v>
      </x:c>
      <x:c r="F49" s="20" t="str">
        <x:v>PvE</x:v>
      </x:c>
      <x:c r="G49" s="23" t="n">
        <x:v>1</x:v>
      </x:c>
      <x:c r="H49" s="23" t="n">
        <x:v>610</x:v>
      </x:c>
      <x:c r="I49" s="23" t="str">
        <x:v>Combat</x:v>
      </x:c>
      <x:c r="J49" s="23" t="n">
        <x:v>4</x:v>
      </x:c>
      <x:c r="K49" s="23" t="n">
        <x:v>89</x:v>
      </x:c>
      <x:c r="L49" s="23" t="n">
        <x:v>7070</x:v>
      </x:c>
      <x:c r="M49" s="20" t="str">
        <x:v>possible</x:v>
      </x:c>
      <x:c r="N49" s="23" t="n">
        <x:v>0</x:v>
      </x:c>
      <x:c r="O49" s="23" t="n">
        <x:v>7350378</x:v>
      </x:c>
      <x:c r="P49" s="23" t="n">
        <x:v>1595711</x:v>
      </x:c>
      <x:c r="Q49" s="23" t="n">
        <x:v>0</x:v>
      </x:c>
      <x:c r="R49" s="24" t="b">
        <x:v>1</x:v>
      </x:c>
      <x:c r="S49" s="23" t="n">
        <x:v>3428000</x:v>
      </x:c>
      <x:c r="T49" s="24" t="b">
        <x:v>1</x:v>
      </x:c>
      <x:c r="U49" s="24" t="b">
        <x:v>0</x:v>
      </x:c>
      <x:c r="V49" s="25" t="n">
        <x:f>N49+1.5*O49+3*P49+3*Q49</x:f>
        <x:v>15812700</x:v>
      </x:c>
      <x:c r="W49" s="25" t="n">
        <x:f>IF(S49="","",S49*3)</x:f>
        <x:v>10284000</x:v>
      </x:c>
      <x:c r="X49" s="25" t="n">
        <x:f>IF(OR(Z49="No",W49=""),"",V49-W49)</x:f>
        <x:v>5528700</x:v>
      </x:c>
      <x:c r="Y49" s="26" t="n">
        <x:f>IF(OR(Z49="No",W49=""),"",IFERROR(V49/W49,0))</x:f>
        <x:v>1.5376021003500584</x:v>
      </x:c>
      <x:c r="Z49" s="27" t="str">
        <x:f>IF(AND(U49=TRUE,V49=0),"No","Yes")</x:f>
        <x:v>Yes</x:v>
      </x:c>
      <x:c r="AA49" s="27" t="str">
        <x:f>IF(Z49="No","Not comparable",IF(X49="","Unknown cost",IF(X49&gt;0,"Yes","No")))</x:f>
        <x:v>Yes</x:v>
      </x:c>
      <x:c r="AB49" s="20" t="str">
        <x:v>3.428M</x:v>
      </x:c>
    </x:row>
    <x:row r="50">
      <x:c r="A50" s="20" t="str">
        <x:v>medium-alien-encounter-690-pvp-3star</x:v>
      </x:c>
      <x:c r="B50" s="21" t="d">
        <x:v>2026-10-01T00:00:00.000Z</x:v>
      </x:c>
      <x:c r="C50" s="22" t="n">
        <x:v>50</x:v>
      </x:c>
      <x:c r="D50" s="20" t="str">
        <x:v>PTS scan card</x:v>
      </x:c>
      <x:c r="E50" s="20" t="str">
        <x:v>Medium Alien Encounter</x:v>
      </x:c>
      <x:c r="F50" s="20" t="str">
        <x:v>PvP</x:v>
      </x:c>
      <x:c r="G50" s="23" t="n">
        <x:v>3</x:v>
      </x:c>
      <x:c r="H50" s="23" t="n">
        <x:v>690</x:v>
      </x:c>
      <x:c r="I50" s="23" t="str">
        <x:v>Combat</x:v>
      </x:c>
      <x:c r="J50" s="23" t="n">
        <x:v>1</x:v>
      </x:c>
      <x:c r="K50" s="23" t="n">
        <x:v>23</x:v>
      </x:c>
      <x:c r="L50" s="23" t="n">
        <x:v>7070</x:v>
      </x:c>
      <x:c r="M50" s="20" t="str">
        <x:v>possible</x:v>
      </x:c>
      <x:c r="N50" s="23" t="n">
        <x:v>11639837</x:v>
      </x:c>
      <x:c r="O50" s="23" t="n">
        <x:v>5182620</x:v>
      </x:c>
      <x:c r="P50" s="23" t="n">
        <x:v>1738801</x:v>
      </x:c>
      <x:c r="Q50" s="23" t="n">
        <x:v>0</x:v>
      </x:c>
      <x:c r="R50" s="24" t="b">
        <x:v>1</x:v>
      </x:c>
      <x:c r="S50" s="23" t="n">
        <x:v>2908000</x:v>
      </x:c>
      <x:c r="T50" s="24" t="b">
        <x:v>1</x:v>
      </x:c>
      <x:c r="U50" s="24" t="b">
        <x:v>1</x:v>
      </x:c>
      <x:c r="V50" s="25" t="n">
        <x:f>N50+1.5*O50+3*P50+3*Q50</x:f>
        <x:v>24630170</x:v>
      </x:c>
      <x:c r="W50" s="25" t="n">
        <x:f>IF(S50="","",S50*3)</x:f>
        <x:v>8724000</x:v>
      </x:c>
      <x:c r="X50" s="25" t="n">
        <x:f>IF(OR(Z50="No",W50=""),"",V50-W50)</x:f>
        <x:v>15906170</x:v>
      </x:c>
      <x:c r="Y50" s="26" t="n">
        <x:f>IF(OR(Z50="No",W50=""),"",IFERROR(V50/W50,0))</x:f>
        <x:v>2.823265703805594</x:v>
      </x:c>
      <x:c r="Z50" s="27" t="str">
        <x:f>IF(AND(U50=TRUE,V50=0),"No","Yes")</x:f>
        <x:v>Yes</x:v>
      </x:c>
      <x:c r="AA50" s="27" t="str">
        <x:f>IF(Z50="No","Not comparable",IF(X50="","Unknown cost",IF(X50&gt;0,"Yes","No")))</x:f>
        <x:v>Yes</x:v>
      </x:c>
      <x:c r="AB50" s="20" t="str">
        <x:v>2.908M</x:v>
      </x:c>
    </x:row>
    <x:row r="51">
      <x:c r="A51" s="20" t="str">
        <x:v>delivery-crystal-640-pve-2star</x:v>
      </x:c>
      <x:c r="B51" s="21" t="d">
        <x:v>2026-10-01T00:00:00.000Z</x:v>
      </x:c>
      <x:c r="C51" s="22" t="n">
        <x:v>50</x:v>
      </x:c>
      <x:c r="D51" s="20" t="str">
        <x:v>PTS scan card</x:v>
      </x:c>
      <x:c r="E51" s="20" t="str">
        <x:v>Delivery: Crystal</x:v>
      </x:c>
      <x:c r="F51" s="20" t="str">
        <x:v>PvE</x:v>
      </x:c>
      <x:c r="G51" s="23" t="n">
        <x:v>2</x:v>
      </x:c>
      <x:c r="H51" s="23" t="n">
        <x:v>640</x:v>
      </x:c>
      <x:c r="I51" s="23" t="str">
        <x:v>Delivery</x:v>
      </x:c>
      <x:c r="J51" s="23" t="n">
        <x:v>1</x:v>
      </x:c>
      <x:c r="K51" s="23" t="n">
        <x:v>26</x:v>
      </x:c>
      <x:c r="L51" s="23" t="n">
        <x:v>4695</x:v>
      </x:c>
      <x:c r="M51" s="20" t="str">
        <x:v>possible</x:v>
      </x:c>
      <x:c r="N51" s="23" t="n">
        <x:v>0</x:v>
      </x:c>
      <x:c r="O51" s="23" t="n">
        <x:v>4855623</x:v>
      </x:c>
      <x:c r="P51" s="23" t="n">
        <x:v>0</x:v>
      </x:c>
      <x:c r="Q51" s="23" t="n">
        <x:v>0</x:v>
      </x:c>
      <x:c r="R51" s="24" t="b">
        <x:v>1</x:v>
      </x:c>
      <x:c r="S51" s="23" t="n">
        <x:v>1798000</x:v>
      </x:c>
      <x:c r="T51" s="24" t="b">
        <x:v>1</x:v>
      </x:c>
      <x:c r="U51" s="24" t="b">
        <x:v>0</x:v>
      </x:c>
      <x:c r="V51" s="25" t="n">
        <x:f>N51+1.5*O51+3*P51+3*Q51</x:f>
        <x:v>7283434.5</x:v>
      </x:c>
      <x:c r="W51" s="25" t="n">
        <x:f>IF(S51="","",S51*3)</x:f>
        <x:v>5394000</x:v>
      </x:c>
      <x:c r="X51" s="25" t="n">
        <x:f>IF(OR(Z51="No",W51=""),"",V51-W51)</x:f>
        <x:v>1889434.5</x:v>
      </x:c>
      <x:c r="Y51" s="26" t="n">
        <x:f>IF(OR(Z51="No",W51=""),"",IFERROR(V51/W51,0))</x:f>
        <x:v>1.3502844827586207</x:v>
      </x:c>
      <x:c r="Z51" s="27" t="str">
        <x:f>IF(AND(U51=TRUE,V51=0),"No","Yes")</x:f>
        <x:v>Yes</x:v>
      </x:c>
      <x:c r="AA51" s="27" t="str">
        <x:f>IF(Z51="No","Not comparable",IF(X51="","Unknown cost",IF(X51&gt;0,"Yes","No")))</x:f>
        <x:v>Yes</x:v>
      </x:c>
      <x:c r="AB51" s="20" t="str">
        <x:v>1.798M</x:v>
      </x:c>
    </x:row>
    <x:row r="52">
      <x:c r="A52" s="20" t="str">
        <x:v>medium-pirate-encounter-581-pve-3star</x:v>
      </x:c>
      <x:c r="B52" s="21" t="d">
        <x:v>2026-10-01T00:00:00.000Z</x:v>
      </x:c>
      <x:c r="C52" s="22" t="n">
        <x:v>50</x:v>
      </x:c>
      <x:c r="D52" s="20" t="str">
        <x:v>PTS scan card</x:v>
      </x:c>
      <x:c r="E52" s="20" t="str">
        <x:v>Medium Pirate Encounter</x:v>
      </x:c>
      <x:c r="F52" s="20" t="str">
        <x:v>PvE</x:v>
      </x:c>
      <x:c r="G52" s="23" t="n">
        <x:v>3</x:v>
      </x:c>
      <x:c r="H52" s="23" t="n">
        <x:v>581</x:v>
      </x:c>
      <x:c r="I52" s="23" t="str">
        <x:v>Combat</x:v>
      </x:c>
      <x:c r="J52" s="23" t="n">
        <x:v>3</x:v>
      </x:c>
      <x:c r="K52" s="23" t="n">
        <x:v>66</x:v>
      </x:c>
      <x:c r="L52" s="23" t="n">
        <x:v>6215</x:v>
      </x:c>
      <x:c r="M52" s="20" t="str">
        <x:v>possible</x:v>
      </x:c>
      <x:c r="N52" s="23" t="n">
        <x:v>0</x:v>
      </x:c>
      <x:c r="O52" s="23" t="n">
        <x:v>0</x:v>
      </x:c>
      <x:c r="P52" s="23" t="n">
        <x:v>0</x:v>
      </x:c>
      <x:c r="Q52" s="23" t="n">
        <x:v>0</x:v>
      </x:c>
      <x:c r="R52" s="24" t="b">
        <x:v>1</x:v>
      </x:c>
      <x:c r="S52" s="23" t="n">
        <x:v>7347000</x:v>
      </x:c>
      <x:c r="T52" s="24" t="b">
        <x:v>1</x:v>
      </x:c>
      <x:c r="U52" s="24" t="b">
        <x:v>1</x:v>
      </x:c>
      <x:c r="V52" s="25" t="n">
        <x:f>N52+1.5*O52+3*P52+3*Q52</x:f>
        <x:v>0</x:v>
      </x:c>
      <x:c r="W52" s="25" t="n">
        <x:f>IF(S52="","",S52*3)</x:f>
        <x:v>22041000</x:v>
      </x:c>
      <x:c r="X52" s="25" t="str">
        <x:f>IF(OR(Z52="No",W52=""),"",V52-W52)</x:f>
      </x:c>
      <x:c r="Y52" s="26" t="str">
        <x:f>IF(OR(Z52="No",W52=""),"",IFERROR(V52/W52,0))</x:f>
      </x:c>
      <x:c r="Z52" s="27" t="str">
        <x:f>IF(AND(U52=TRUE,V52=0),"No","Yes")</x:f>
        <x:v>No</x:v>
      </x:c>
      <x:c r="AA52" s="27" t="str">
        <x:f>IF(Z52="No","Not comparable",IF(X52="","Unknown cost",IF(X52&gt;0,"Yes","No")))</x:f>
        <x:v>Not comparable</x:v>
      </x:c>
      <x:c r="AB52" s="20" t="str">
        <x:v>7.347M</x:v>
      </x:c>
    </x:row>
    <x:row r="53">
      <x:c r="A53" s="20" t="str">
        <x:v>delivery-metal-708-pvp-4star</x:v>
      </x:c>
      <x:c r="B53" s="21" t="d">
        <x:v>2026-10-01T00:00:00.000Z</x:v>
      </x:c>
      <x:c r="C53" s="22" t="n">
        <x:v>50</x:v>
      </x:c>
      <x:c r="D53" s="20" t="str">
        <x:v>PTS scan card</x:v>
      </x:c>
      <x:c r="E53" s="20" t="str">
        <x:v>Delivery: Metal</x:v>
      </x:c>
      <x:c r="F53" s="20" t="str">
        <x:v>PvP</x:v>
      </x:c>
      <x:c r="G53" s="23" t="n">
        <x:v>4</x:v>
      </x:c>
      <x:c r="H53" s="23" t="n">
        <x:v>708</x:v>
      </x:c>
      <x:c r="I53" s="23" t="str">
        <x:v>Delivery</x:v>
      </x:c>
      <x:c r="J53" s="23" t="n">
        <x:v>1</x:v>
      </x:c>
      <x:c r="K53" s="23" t="n">
        <x:v>24</x:v>
      </x:c>
      <x:c r="L53" s="23" t="n">
        <x:v>7165</x:v>
      </x:c>
      <x:c r="M53" s="20" t="str">
        <x:v>possible</x:v>
      </x:c>
      <x:c r="N53" s="23" t="n">
        <x:v>31849298</x:v>
      </x:c>
      <x:c r="O53" s="23" t="n">
        <x:v>0</x:v>
      </x:c>
      <x:c r="P53" s="23" t="n">
        <x:v>0</x:v>
      </x:c>
      <x:c r="Q53" s="23" t="n">
        <x:v>0</x:v>
      </x:c>
      <x:c r="R53" s="24" t="b">
        <x:v>1</x:v>
      </x:c>
      <x:c r="S53" s="23" t="n">
        <x:v>3979000</x:v>
      </x:c>
      <x:c r="T53" s="24" t="b">
        <x:v>1</x:v>
      </x:c>
      <x:c r="U53" s="24" t="b">
        <x:v>0</x:v>
      </x:c>
      <x:c r="V53" s="25" t="n">
        <x:f>N53+1.5*O53+3*P53+3*Q53</x:f>
        <x:v>31849298</x:v>
      </x:c>
      <x:c r="W53" s="25" t="n">
        <x:f>IF(S53="","",S53*3)</x:f>
        <x:v>11937000</x:v>
      </x:c>
      <x:c r="X53" s="25" t="n">
        <x:f>IF(OR(Z53="No",W53=""),"",V53-W53)</x:f>
        <x:v>19912298</x:v>
      </x:c>
      <x:c r="Y53" s="26" t="n">
        <x:f>IF(OR(Z53="No",W53=""),"",IFERROR(V53/W53,0))</x:f>
        <x:v>2.668115774482701</x:v>
      </x:c>
      <x:c r="Z53" s="27" t="str">
        <x:f>IF(AND(U53=TRUE,V53=0),"No","Yes")</x:f>
        <x:v>Yes</x:v>
      </x:c>
      <x:c r="AA53" s="27" t="str">
        <x:f>IF(Z53="No","Not comparable",IF(X53="","Unknown cost",IF(X53&gt;0,"Yes","No")))</x:f>
        <x:v>Yes</x:v>
      </x:c>
      <x:c r="AB53" s="20" t="str">
        <x:v>3.979M</x:v>
      </x:c>
    </x:row>
    <x:row r="54">
      <x:c r="A54" s="20" t="str">
        <x:v>small-alien-encounter-527-pvp-2star</x:v>
      </x:c>
      <x:c r="B54" s="21" t="d">
        <x:v>2026-10-01T00:00:00.000Z</x:v>
      </x:c>
      <x:c r="C54" s="22" t="n">
        <x:v>50</x:v>
      </x:c>
      <x:c r="D54" s="20" t="str">
        <x:v>PTS scan card</x:v>
      </x:c>
      <x:c r="E54" s="20" t="str">
        <x:v>Small Alien Encounter</x:v>
      </x:c>
      <x:c r="F54" s="20" t="str">
        <x:v>PvP</x:v>
      </x:c>
      <x:c r="G54" s="23" t="n">
        <x:v>2</x:v>
      </x:c>
      <x:c r="H54" s="23" t="n">
        <x:v>527</x:v>
      </x:c>
      <x:c r="I54" s="23" t="str">
        <x:v>Combat</x:v>
      </x:c>
      <x:c r="J54" s="23" t="n">
        <x:v>2</x:v>
      </x:c>
      <x:c r="K54" s="23" t="n">
        <x:v>45</x:v>
      </x:c>
      <x:c r="L54" s="23" t="n">
        <x:v>6025</x:v>
      </x:c>
      <x:c r="M54" s="20" t="str">
        <x:v>possible</x:v>
      </x:c>
      <x:c r="N54" s="23" t="n">
        <x:v>0</x:v>
      </x:c>
      <x:c r="O54" s="23" t="n">
        <x:v>0</x:v>
      </x:c>
      <x:c r="P54" s="23" t="n">
        <x:v>9803306</x:v>
      </x:c>
      <x:c r="Q54" s="23" t="n">
        <x:v>0</x:v>
      </x:c>
      <x:c r="R54" s="24" t="b">
        <x:v>1</x:v>
      </x:c>
      <x:c r="S54" s="23" t="n">
        <x:v>2961000</x:v>
      </x:c>
      <x:c r="T54" s="24" t="b">
        <x:v>1</x:v>
      </x:c>
      <x:c r="U54" s="24" t="b">
        <x:v>0</x:v>
      </x:c>
      <x:c r="V54" s="25" t="n">
        <x:f>N54+1.5*O54+3*P54+3*Q54</x:f>
        <x:v>29409918</x:v>
      </x:c>
      <x:c r="W54" s="25" t="n">
        <x:f>IF(S54="","",S54*3)</x:f>
        <x:v>8883000</x:v>
      </x:c>
      <x:c r="X54" s="25" t="n">
        <x:f>IF(OR(Z54="No",W54=""),"",V54-W54)</x:f>
        <x:v>20526918</x:v>
      </x:c>
      <x:c r="Y54" s="26" t="n">
        <x:f>IF(OR(Z54="No",W54=""),"",IFERROR(V54/W54,0))</x:f>
        <x:v>3.310809186085782</x:v>
      </x:c>
      <x:c r="Z54" s="27" t="str">
        <x:f>IF(AND(U54=TRUE,V54=0),"No","Yes")</x:f>
        <x:v>Yes</x:v>
      </x:c>
      <x:c r="AA54" s="27" t="str">
        <x:f>IF(Z54="No","Not comparable",IF(X54="","Unknown cost",IF(X54&gt;0,"Yes","No")))</x:f>
        <x:v>Yes</x:v>
      </x:c>
      <x:c r="AB54" s="20" t="str">
        <x:v>2.961M</x:v>
      </x:c>
    </x:row>
    <x:row r="55">
      <x:c r="A55" s="20" t="str">
        <x:v>alien-encounter-619-pve-1star</x:v>
      </x:c>
      <x:c r="B55" s="21" t="d">
        <x:v>2026-10-01T00:00:00.000Z</x:v>
      </x:c>
      <x:c r="C55" s="22" t="n">
        <x:v>50</x:v>
      </x:c>
      <x:c r="D55" s="20" t="str">
        <x:v>PTS scan card</x:v>
      </x:c>
      <x:c r="E55" s="20" t="str">
        <x:v>Alien Encounter</x:v>
      </x:c>
      <x:c r="F55" s="20" t="str">
        <x:v>PvE</x:v>
      </x:c>
      <x:c r="G55" s="23" t="n">
        <x:v>1</x:v>
      </x:c>
      <x:c r="H55" s="23" t="n">
        <x:v>619</x:v>
      </x:c>
      <x:c r="I55" s="23" t="str">
        <x:v>Combat</x:v>
      </x:c>
      <x:c r="J55" s="23" t="n">
        <x:v>8</x:v>
      </x:c>
      <x:c r="K55" s="23" t="n">
        <x:v>162</x:v>
      </x:c>
      <x:c r="L55" s="23" t="n">
        <x:v>3365</x:v>
      </x:c>
      <x:c r="M55" s="20" t="str">
        <x:v>possible</x:v>
      </x:c>
      <x:c r="N55" s="23" t="n">
        <x:v>13702320</x:v>
      </x:c>
      <x:c r="O55" s="23" t="n">
        <x:v>8615263</x:v>
      </x:c>
      <x:c r="P55" s="23" t="n">
        <x:v>7633743</x:v>
      </x:c>
      <x:c r="Q55" s="23" t="n">
        <x:v>0</x:v>
      </x:c>
      <x:c r="R55" s="24" t="b">
        <x:v>1</x:v>
      </x:c>
      <x:c r="S55" s="23" t="n">
        <x:v>6958000</x:v>
      </x:c>
      <x:c r="T55" s="24" t="b">
        <x:v>1</x:v>
      </x:c>
      <x:c r="U55" s="24" t="b">
        <x:v>1</x:v>
      </x:c>
      <x:c r="V55" s="25" t="n">
        <x:f>N55+1.5*O55+3*P55+3*Q55</x:f>
        <x:v>49526443.5</x:v>
      </x:c>
      <x:c r="W55" s="25" t="n">
        <x:f>IF(S55="","",S55*3)</x:f>
        <x:v>20874000</x:v>
      </x:c>
      <x:c r="X55" s="25" t="n">
        <x:f>IF(OR(Z55="No",W55=""),"",V55-W55)</x:f>
        <x:v>28652443.5</x:v>
      </x:c>
      <x:c r="Y55" s="26" t="n">
        <x:f>IF(OR(Z55="No",W55=""),"",IFERROR(V55/W55,0))</x:f>
        <x:v>2.3726378988215004</x:v>
      </x:c>
      <x:c r="Z55" s="27" t="str">
        <x:f>IF(AND(U55=TRUE,V55=0),"No","Yes")</x:f>
        <x:v>Yes</x:v>
      </x:c>
      <x:c r="AA55" s="27" t="str">
        <x:f>IF(Z55="No","Not comparable",IF(X55="","Unknown cost",IF(X55&gt;0,"Yes","No")))</x:f>
        <x:v>Yes</x:v>
      </x:c>
      <x:c r="AB55" s="20" t="str">
        <x:v>6.958M</x:v>
      </x:c>
    </x:row>
    <x:row r="56">
      <x:c r="A56" s="20" t="str">
        <x:v>delivery-crystal-549-pvp-2star</x:v>
      </x:c>
      <x:c r="B56" s="21" t="d">
        <x:v>2026-10-01T00:00:00.000Z</x:v>
      </x:c>
      <x:c r="C56" s="22" t="n">
        <x:v>50</x:v>
      </x:c>
      <x:c r="D56" s="20" t="str">
        <x:v>PTS scan card</x:v>
      </x:c>
      <x:c r="E56" s="20" t="str">
        <x:v>Delivery: Crystal</x:v>
      </x:c>
      <x:c r="F56" s="20" t="str">
        <x:v>PvP</x:v>
      </x:c>
      <x:c r="G56" s="23" t="n">
        <x:v>2</x:v>
      </x:c>
      <x:c r="H56" s="23" t="n">
        <x:v>549</x:v>
      </x:c>
      <x:c r="I56" s="23" t="str">
        <x:v>Delivery</x:v>
      </x:c>
      <x:c r="J56" s="23" t="n">
        <x:v>1</x:v>
      </x:c>
      <x:c r="K56" s="23" t="n">
        <x:v>26</x:v>
      </x:c>
      <x:c r="L56" s="23" t="n">
        <x:v>6975</x:v>
      </x:c>
      <x:c r="M56" s="20" t="str">
        <x:v>possible</x:v>
      </x:c>
      <x:c r="N56" s="23" t="n">
        <x:v>0</x:v>
      </x:c>
      <x:c r="O56" s="23" t="n">
        <x:v>8330429</x:v>
      </x:c>
      <x:c r="P56" s="23" t="n">
        <x:v>0</x:v>
      </x:c>
      <x:c r="Q56" s="23" t="n">
        <x:v>0</x:v>
      </x:c>
      <x:c r="R56" s="24" t="b">
        <x:v>1</x:v>
      </x:c>
      <x:c r="S56" s="23" t="n">
        <x:v>1542000</x:v>
      </x:c>
      <x:c r="T56" s="24" t="b">
        <x:v>1</x:v>
      </x:c>
      <x:c r="U56" s="24" t="b">
        <x:v>0</x:v>
      </x:c>
      <x:c r="V56" s="25" t="n">
        <x:f>N56+1.5*O56+3*P56+3*Q56</x:f>
        <x:v>12495643.5</x:v>
      </x:c>
      <x:c r="W56" s="25" t="n">
        <x:f>IF(S56="","",S56*3)</x:f>
        <x:v>4626000</x:v>
      </x:c>
      <x:c r="X56" s="25" t="n">
        <x:f>IF(OR(Z56="No",W56=""),"",V56-W56)</x:f>
        <x:v>7869643.5</x:v>
      </x:c>
      <x:c r="Y56" s="26" t="n">
        <x:f>IF(OR(Z56="No",W56=""),"",IFERROR(V56/W56,0))</x:f>
        <x:v>2.701176718547341</x:v>
      </x:c>
      <x:c r="Z56" s="27" t="str">
        <x:f>IF(AND(U56=TRUE,V56=0),"No","Yes")</x:f>
        <x:v>Yes</x:v>
      </x:c>
      <x:c r="AA56" s="27" t="str">
        <x:f>IF(Z56="No","Not comparable",IF(X56="","Unknown cost",IF(X56&gt;0,"Yes","No")))</x:f>
        <x:v>Yes</x:v>
      </x:c>
      <x:c r="AB56" s="20" t="str">
        <x:v>1.542M</x:v>
      </x:c>
    </x:row>
    <x:row r="57">
      <x:c r="A57" s="20" t="str">
        <x:v>defend-658-pvp-2star</x:v>
      </x:c>
      <x:c r="B57" s="21" t="d">
        <x:v>2026-10-01T00:00:00.000Z</x:v>
      </x:c>
      <x:c r="C57" s="22" t="n">
        <x:v>50</x:v>
      </x:c>
      <x:c r="D57" s="20" t="str">
        <x:v>PTS scan card</x:v>
      </x:c>
      <x:c r="E57" s="20" t="str">
        <x:v>Defend</x:v>
      </x:c>
      <x:c r="F57" s="20" t="str">
        <x:v>PvP</x:v>
      </x:c>
      <x:c r="G57" s="23" t="n">
        <x:v>2</x:v>
      </x:c>
      <x:c r="H57" s="23" t="n">
        <x:v>658</x:v>
      </x:c>
      <x:c r="I57" s="23" t="str">
        <x:v>Combat</x:v>
      </x:c>
      <x:c r="J57" s="23" t="n">
        <x:v>5</x:v>
      </x:c>
      <x:c r="K57" s="23" t="n">
        <x:v>90</x:v>
      </x:c>
      <x:c r="L57" s="23" t="n">
        <x:v>3460</x:v>
      </x:c>
      <x:c r="M57" s="20" t="str">
        <x:v>possible</x:v>
      </x:c>
      <x:c r="N57" s="23" t="n">
        <x:v>0</x:v>
      </x:c>
      <x:c r="O57" s="23" t="n">
        <x:v>0</x:v>
      </x:c>
      <x:c r="P57" s="23" t="n">
        <x:v>0</x:v>
      </x:c>
      <x:c r="Q57" s="23" t="n">
        <x:v>0</x:v>
      </x:c>
      <x:c r="R57" s="24" t="b">
        <x:v>1</x:v>
      </x:c>
      <x:c r="S57" s="23" t="n">
        <x:v>9245000</x:v>
      </x:c>
      <x:c r="T57" s="24" t="b">
        <x:v>1</x:v>
      </x:c>
      <x:c r="U57" s="24" t="b">
        <x:v>1</x:v>
      </x:c>
      <x:c r="V57" s="25" t="n">
        <x:f>N57+1.5*O57+3*P57+3*Q57</x:f>
        <x:v>0</x:v>
      </x:c>
      <x:c r="W57" s="25" t="n">
        <x:f>IF(S57="","",S57*3)</x:f>
        <x:v>27735000</x:v>
      </x:c>
      <x:c r="X57" s="25" t="str">
        <x:f>IF(OR(Z57="No",W57=""),"",V57-W57)</x:f>
      </x:c>
      <x:c r="Y57" s="26" t="str">
        <x:f>IF(OR(Z57="No",W57=""),"",IFERROR(V57/W57,0))</x:f>
      </x:c>
      <x:c r="Z57" s="27" t="str">
        <x:f>IF(AND(U57=TRUE,V57=0),"No","Yes")</x:f>
        <x:v>No</x:v>
      </x:c>
      <x:c r="AA57" s="27" t="str">
        <x:f>IF(Z57="No","Not comparable",IF(X57="","Unknown cost",IF(X57&gt;0,"Yes","No")))</x:f>
        <x:v>Not comparable</x:v>
      </x:c>
      <x:c r="AB57" s="20" t="str">
        <x:v>9.245M</x:v>
      </x:c>
    </x:row>
    <x:row r="58">
      <x:c r="A58" s="20" t="str">
        <x:v>small-alien-encounter-501-pve-5star</x:v>
      </x:c>
      <x:c r="B58" s="21" t="d">
        <x:v>2026-10-01T00:00:00.000Z</x:v>
      </x:c>
      <x:c r="C58" s="22" t="n">
        <x:v>50</x:v>
      </x:c>
      <x:c r="D58" s="20" t="str">
        <x:v>PTS scan card</x:v>
      </x:c>
      <x:c r="E58" s="20" t="str">
        <x:v>Small Alien Encounter</x:v>
      </x:c>
      <x:c r="F58" s="20" t="str">
        <x:v>PvE</x:v>
      </x:c>
      <x:c r="G58" s="23" t="n">
        <x:v>5</x:v>
      </x:c>
      <x:c r="H58" s="23" t="n">
        <x:v>501</x:v>
      </x:c>
      <x:c r="I58" s="23" t="str">
        <x:v>Combat</x:v>
      </x:c>
      <x:c r="J58" s="23" t="n">
        <x:v>4</x:v>
      </x:c>
      <x:c r="K58" s="23" t="n">
        <x:v>90</x:v>
      </x:c>
      <x:c r="L58" s="23" t="n">
        <x:v>3270</x:v>
      </x:c>
      <x:c r="M58" s="20" t="str">
        <x:v>possible</x:v>
      </x:c>
      <x:c r="N58" s="23" t="n">
        <x:v>0</x:v>
      </x:c>
      <x:c r="O58" s="23" t="n">
        <x:v>18575234</x:v>
      </x:c>
      <x:c r="P58" s="23" t="n">
        <x:v>0</x:v>
      </x:c>
      <x:c r="Q58" s="23" t="n">
        <x:v>0</x:v>
      </x:c>
      <x:c r="R58" s="24" t="b">
        <x:v>1</x:v>
      </x:c>
      <x:c r="S58" s="23" t="n">
        <x:v>14079000</x:v>
      </x:c>
      <x:c r="T58" s="24" t="b">
        <x:v>1</x:v>
      </x:c>
      <x:c r="U58" s="24" t="b">
        <x:v>1</x:v>
      </x:c>
      <x:c r="V58" s="25" t="n">
        <x:f>N58+1.5*O58+3*P58+3*Q58</x:f>
        <x:v>27862851</x:v>
      </x:c>
      <x:c r="W58" s="25" t="n">
        <x:f>IF(S58="","",S58*3)</x:f>
        <x:v>42237000</x:v>
      </x:c>
      <x:c r="X58" s="25" t="n">
        <x:f>IF(OR(Z58="No",W58=""),"",V58-W58)</x:f>
        <x:v>-14374149</x:v>
      </x:c>
      <x:c r="Y58" s="26" t="n">
        <x:f>IF(OR(Z58="No",W58=""),"",IFERROR(V58/W58,0))</x:f>
        <x:v>0.6596787413878826</x:v>
      </x:c>
      <x:c r="Z58" s="27" t="str">
        <x:f>IF(AND(U58=TRUE,V58=0),"No","Yes")</x:f>
        <x:v>Yes</x:v>
      </x:c>
      <x:c r="AA58" s="27" t="str">
        <x:f>IF(Z58="No","Not comparable",IF(X58="","Unknown cost",IF(X58&gt;0,"Yes","No")))</x:f>
        <x:v>No</x:v>
      </x:c>
      <x:c r="AB58" s="20" t="str">
        <x:v>14.079M</x:v>
      </x:c>
    </x:row>
    <x:row r="59">
      <x:c r="A59" s="20" t="str">
        <x:v>chaos-mission-669-pve-4star</x:v>
      </x:c>
      <x:c r="B59" s="21" t="d">
        <x:v>2026-10-01T00:00:00.000Z</x:v>
      </x:c>
      <x:c r="C59" s="22" t="n">
        <x:v>150</x:v>
      </x:c>
      <x:c r="D59" s="20" t="str">
        <x:v>PTS scan card</x:v>
      </x:c>
      <x:c r="E59" s="20" t="str">
        <x:v>Chaos Mission</x:v>
      </x:c>
      <x:c r="F59" s="20" t="str">
        <x:v>PvE</x:v>
      </x:c>
      <x:c r="G59" s="23" t="n">
        <x:v>4</x:v>
      </x:c>
      <x:c r="H59" s="23" t="n">
        <x:v>669</x:v>
      </x:c>
      <x:c r="I59" s="23" t="str">
        <x:v>Combat</x:v>
      </x:c>
      <x:c r="J59" s="23" t="n">
        <x:v>2</x:v>
      </x:c>
      <x:c r="K59" s="23" t="n">
        <x:v>62</x:v>
      </x:c>
      <x:c r="L59" s="23" t="n">
        <x:v>13055</x:v>
      </x:c>
      <x:c r="M59" s="20" t="str">
        <x:v>possible</x:v>
      </x:c>
      <x:c r="N59" s="23" t="n">
        <x:v>14752395</x:v>
      </x:c>
      <x:c r="O59" s="23" t="n">
        <x:v>6568482</x:v>
      </x:c>
      <x:c r="P59" s="23" t="n">
        <x:v>2203767</x:v>
      </x:c>
      <x:c r="Q59" s="23" t="n">
        <x:v>0</x:v>
      </x:c>
      <x:c r="R59" s="24" t="b">
        <x:v>1</x:v>
      </x:c>
      <x:c r="S59" s="23" t="n">
        <x:v>7520000</x:v>
      </x:c>
      <x:c r="T59" s="24" t="b">
        <x:v>1</x:v>
      </x:c>
      <x:c r="U59" s="24" t="b">
        <x:v>1</x:v>
      </x:c>
      <x:c r="V59" s="25" t="n">
        <x:f>N59+1.5*O59+3*P59+3*Q59</x:f>
        <x:v>31216419</x:v>
      </x:c>
      <x:c r="W59" s="25" t="n">
        <x:f>IF(S59="","",S59*3)</x:f>
        <x:v>22560000</x:v>
      </x:c>
      <x:c r="X59" s="25" t="n">
        <x:f>IF(OR(Z59="No",W59=""),"",V59-W59)</x:f>
        <x:v>8656419</x:v>
      </x:c>
      <x:c r="Y59" s="26" t="n">
        <x:f>IF(OR(Z59="No",W59=""),"",IFERROR(V59/W59,0))</x:f>
        <x:v>1.3837065159574469</x:v>
      </x:c>
      <x:c r="Z59" s="27" t="str">
        <x:f>IF(AND(U59=TRUE,V59=0),"No","Yes")</x:f>
        <x:v>Yes</x:v>
      </x:c>
      <x:c r="AA59" s="27" t="str">
        <x:f>IF(Z59="No","Not comparable",IF(X59="","Unknown cost",IF(X59&gt;0,"Yes","No")))</x:f>
        <x:v>Yes</x:v>
      </x:c>
      <x:c r="AB59" s="20" t="str">
        <x:v>7.52M</x:v>
      </x:c>
    </x:row>
    <x:row r="60">
      <x:c r="A60" s="20" t="str">
        <x:v>medium-pirate-encounter-542-pvp-1star</x:v>
      </x:c>
      <x:c r="B60" s="21" t="d">
        <x:v>2026-10-01T00:00:00.000Z</x:v>
      </x:c>
      <x:c r="C60" s="22" t="n">
        <x:v>150</x:v>
      </x:c>
      <x:c r="D60" s="20" t="str">
        <x:v>PTS scan card</x:v>
      </x:c>
      <x:c r="E60" s="20" t="str">
        <x:v>Medium Pirate Encounter</x:v>
      </x:c>
      <x:c r="F60" s="20" t="str">
        <x:v>PvP</x:v>
      </x:c>
      <x:c r="G60" s="23" t="n">
        <x:v>1</x:v>
      </x:c>
      <x:c r="H60" s="23" t="n">
        <x:v>542</x:v>
      </x:c>
      <x:c r="I60" s="23" t="str">
        <x:v>Combat</x:v>
      </x:c>
      <x:c r="J60" s="23" t="n">
        <x:v>3</x:v>
      </x:c>
      <x:c r="K60" s="23" t="n">
        <x:v>86</x:v>
      </x:c>
      <x:c r="L60" s="23" t="n">
        <x:v>8020</x:v>
      </x:c>
      <x:c r="M60" s="20" t="str">
        <x:v>possible</x:v>
      </x:c>
      <x:c r="N60" s="23" t="n">
        <x:v>13643518</x:v>
      </x:c>
      <x:c r="O60" s="23" t="n">
        <x:v>0</x:v>
      </x:c>
      <x:c r="P60" s="23" t="n">
        <x:v>0</x:v>
      </x:c>
      <x:c r="Q60" s="23" t="n">
        <x:v>0</x:v>
      </x:c>
      <x:c r="R60" s="24" t="b">
        <x:v>1</x:v>
      </x:c>
      <x:c r="S60" s="23" t="n">
        <x:v>2284000</x:v>
      </x:c>
      <x:c r="T60" s="24" t="b">
        <x:v>1</x:v>
      </x:c>
      <x:c r="U60" s="24" t="b">
        <x:v>1</x:v>
      </x:c>
      <x:c r="V60" s="25" t="n">
        <x:f>N60+1.5*O60+3*P60+3*Q60</x:f>
        <x:v>13643518</x:v>
      </x:c>
      <x:c r="W60" s="25" t="n">
        <x:f>IF(S60="","",S60*3)</x:f>
        <x:v>6852000</x:v>
      </x:c>
      <x:c r="X60" s="25" t="n">
        <x:f>IF(OR(Z60="No",W60=""),"",V60-W60)</x:f>
        <x:v>6791518</x:v>
      </x:c>
      <x:c r="Y60" s="26" t="n">
        <x:f>IF(OR(Z60="No",W60=""),"",IFERROR(V60/W60,0))</x:f>
        <x:v>1.9911730881494454</x:v>
      </x:c>
      <x:c r="Z60" s="27" t="str">
        <x:f>IF(AND(U60=TRUE,V60=0),"No","Yes")</x:f>
        <x:v>Yes</x:v>
      </x:c>
      <x:c r="AA60" s="27" t="str">
        <x:f>IF(Z60="No","Not comparable",IF(X60="","Unknown cost",IF(X60&gt;0,"Yes","No")))</x:f>
        <x:v>Yes</x:v>
      </x:c>
      <x:c r="AB60" s="20" t="str">
        <x:v>2.284M</x:v>
      </x:c>
    </x:row>
    <x:row r="61">
      <x:c r="A61" s="20" t="str">
        <x:v>medium-alien-encounter-490-pve-4star</x:v>
      </x:c>
      <x:c r="B61" s="21" t="d">
        <x:v>2026-10-01T00:00:00.000Z</x:v>
      </x:c>
      <x:c r="C61" s="22" t="n">
        <x:v>150</x:v>
      </x:c>
      <x:c r="D61" s="20" t="str">
        <x:v>PTS scan card</x:v>
      </x:c>
      <x:c r="E61" s="20" t="str">
        <x:v>Medium Alien Encounter</x:v>
      </x:c>
      <x:c r="F61" s="20" t="str">
        <x:v>PvE</x:v>
      </x:c>
      <x:c r="G61" s="23" t="n">
        <x:v>4</x:v>
      </x:c>
      <x:c r="H61" s="23" t="n">
        <x:v>490</x:v>
      </x:c>
      <x:c r="I61" s="23" t="str">
        <x:v>Combat</x:v>
      </x:c>
      <x:c r="J61" s="23" t="n">
        <x:v>3</x:v>
      </x:c>
      <x:c r="K61" s="23" t="n">
        <x:v>93</x:v>
      </x:c>
      <x:c r="L61" s="23" t="n">
        <x:v>14290</x:v>
      </x:c>
      <x:c r="M61" s="20" t="str">
        <x:v>possible</x:v>
      </x:c>
      <x:c r="N61" s="23" t="n">
        <x:v>11453504</x:v>
      </x:c>
      <x:c r="O61" s="23" t="n">
        <x:v>5099654</x:v>
      </x:c>
      <x:c r="P61" s="23" t="n">
        <x:v>6743221</x:v>
      </x:c>
      <x:c r="Q61" s="23" t="n">
        <x:v>0</x:v>
      </x:c>
      <x:c r="R61" s="24" t="b">
        <x:v>1</x:v>
      </x:c>
      <x:c r="S61" s="23" t="n">
        <x:v>8262000</x:v>
      </x:c>
      <x:c r="T61" s="24" t="b">
        <x:v>1</x:v>
      </x:c>
      <x:c r="U61" s="24" t="b">
        <x:v>0</x:v>
      </x:c>
      <x:c r="V61" s="25" t="n">
        <x:f>N61+1.5*O61+3*P61+3*Q61</x:f>
        <x:v>39332648</x:v>
      </x:c>
      <x:c r="W61" s="25" t="n">
        <x:f>IF(S61="","",S61*3)</x:f>
        <x:v>24786000</x:v>
      </x:c>
      <x:c r="X61" s="25" t="n">
        <x:f>IF(OR(Z61="No",W61=""),"",V61-W61)</x:f>
        <x:v>14546648</x:v>
      </x:c>
      <x:c r="Y61" s="26" t="n">
        <x:f>IF(OR(Z61="No",W61=""),"",IFERROR(V61/W61,0))</x:f>
        <x:v>1.586889695796014</x:v>
      </x:c>
      <x:c r="Z61" s="27" t="str">
        <x:f>IF(AND(U61=TRUE,V61=0),"No","Yes")</x:f>
        <x:v>Yes</x:v>
      </x:c>
      <x:c r="AA61" s="27" t="str">
        <x:f>IF(Z61="No","Not comparable",IF(X61="","Unknown cost",IF(X61&gt;0,"Yes","No")))</x:f>
        <x:v>Yes</x:v>
      </x:c>
      <x:c r="AB61" s="20" t="str">
        <x:v>8.262M</x:v>
      </x:c>
    </x:row>
    <x:row r="62">
      <x:c r="A62" s="20" t="str">
        <x:v>small-alien-encounter-620-pve-1star</x:v>
      </x:c>
      <x:c r="B62" s="21" t="d">
        <x:v>2026-10-01T00:00:00.000Z</x:v>
      </x:c>
      <x:c r="C62" s="22" t="n">
        <x:v>150</x:v>
      </x:c>
      <x:c r="D62" s="20" t="str">
        <x:v>PTS scan card</x:v>
      </x:c>
      <x:c r="E62" s="20" t="str">
        <x:v>Small Alien Encounter</x:v>
      </x:c>
      <x:c r="F62" s="20" t="str">
        <x:v>PvE</x:v>
      </x:c>
      <x:c r="G62" s="23" t="n">
        <x:v>1</x:v>
      </x:c>
      <x:c r="H62" s="23" t="n">
        <x:v>620</x:v>
      </x:c>
      <x:c r="I62" s="23" t="str">
        <x:v>Combat</x:v>
      </x:c>
      <x:c r="J62" s="23" t="n">
        <x:v>1</x:v>
      </x:c>
      <x:c r="K62" s="23" t="n">
        <x:v>32</x:v>
      </x:c>
      <x:c r="L62" s="23" t="n">
        <x:v>10015</x:v>
      </x:c>
      <x:c r="M62" s="20" t="str">
        <x:v>possible</x:v>
      </x:c>
      <x:c r="N62" s="23" t="n">
        <x:v>3218148</x:v>
      </x:c>
      <x:c r="O62" s="23" t="n">
        <x:v>0</x:v>
      </x:c>
      <x:c r="P62" s="23" t="n">
        <x:v>0</x:v>
      </x:c>
      <x:c r="Q62" s="23" t="n">
        <x:v>0</x:v>
      </x:c>
      <x:c r="R62" s="24" t="b">
        <x:v>1</x:v>
      </x:c>
      <x:c r="S62" s="23" t="n">
        <x:v>871175</x:v>
      </x:c>
      <x:c r="T62" s="24" t="b">
        <x:v>0</x:v>
      </x:c>
      <x:c r="U62" s="24" t="b">
        <x:v>0</x:v>
      </x:c>
      <x:c r="V62" s="25" t="n">
        <x:f>N62+1.5*O62+3*P62+3*Q62</x:f>
        <x:v>3218148</x:v>
      </x:c>
      <x:c r="W62" s="25" t="n">
        <x:f>IF(S62="","",S62*3)</x:f>
        <x:v>2613525</x:v>
      </x:c>
      <x:c r="X62" s="25" t="n">
        <x:f>IF(OR(Z62="No",W62=""),"",V62-W62)</x:f>
        <x:v>604623</x:v>
      </x:c>
      <x:c r="Y62" s="26" t="n">
        <x:f>IF(OR(Z62="No",W62=""),"",IFERROR(V62/W62,0))</x:f>
        <x:v>1.2313438746520504</x:v>
      </x:c>
      <x:c r="Z62" s="27" t="str">
        <x:f>IF(AND(U62=TRUE,V62=0),"No","Yes")</x:f>
        <x:v>Yes</x:v>
      </x:c>
      <x:c r="AA62" s="27" t="str">
        <x:f>IF(Z62="No","Not comparable",IF(X62="","Unknown cost",IF(X62&gt;0,"Yes","No")))</x:f>
        <x:v>Yes</x:v>
      </x:c>
      <x:c r="AB62" s="20" t="str">
        <x:v>871,175</x:v>
      </x:c>
    </x:row>
    <x:row r="63">
      <x:c r="A63" s="20" t="str">
        <x:v>valuable-delivery-486-pvp-1star</x:v>
      </x:c>
      <x:c r="B63" s="21" t="d">
        <x:v>2026-10-01T00:00:00.000Z</x:v>
      </x:c>
      <x:c r="C63" s="22" t="n">
        <x:v>150</x:v>
      </x:c>
      <x:c r="D63" s="20" t="str">
        <x:v>PTS scan card</x:v>
      </x:c>
      <x:c r="E63" s="20" t="str">
        <x:v>Valuable Delivery</x:v>
      </x:c>
      <x:c r="F63" s="20" t="str">
        <x:v>PvP</x:v>
      </x:c>
      <x:c r="G63" s="23" t="n">
        <x:v>1</x:v>
      </x:c>
      <x:c r="H63" s="23" t="n">
        <x:v>486</x:v>
      </x:c>
      <x:c r="I63" s="23" t="str">
        <x:v>Delivery</x:v>
      </x:c>
      <x:c r="J63" s="23" t="n">
        <x:v>1</x:v>
      </x:c>
      <x:c r="K63" s="23" t="n">
        <x:v>45</x:v>
      </x:c>
      <x:c r="L63" s="23" t="n">
        <x:v>16380</x:v>
      </x:c>
      <x:c r="M63" s="20" t="str">
        <x:v>possible</x:v>
      </x:c>
      <x:c r="N63" s="23" t="n">
        <x:v>2312396</x:v>
      </x:c>
      <x:c r="O63" s="23" t="n">
        <x:v>1029590</x:v>
      </x:c>
      <x:c r="P63" s="23" t="n">
        <x:v>345434</x:v>
      </x:c>
      <x:c r="Q63" s="23" t="n">
        <x:v>0</x:v>
      </x:c>
      <x:c r="R63" s="24" t="b">
        <x:v>1</x:v>
      </x:c>
      <x:c r="S63" s="23" t="n">
        <x:v>682889</x:v>
      </x:c>
      <x:c r="T63" s="24" t="b">
        <x:v>0</x:v>
      </x:c>
      <x:c r="U63" s="24" t="b">
        <x:v>0</x:v>
      </x:c>
      <x:c r="V63" s="25" t="n">
        <x:f>N63+1.5*O63+3*P63+3*Q63</x:f>
        <x:v>4893083</x:v>
      </x:c>
      <x:c r="W63" s="25" t="n">
        <x:f>IF(S63="","",S63*3)</x:f>
        <x:v>2048667</x:v>
      </x:c>
      <x:c r="X63" s="25" t="n">
        <x:f>IF(OR(Z63="No",W63=""),"",V63-W63)</x:f>
        <x:v>2844416</x:v>
      </x:c>
      <x:c r="Y63" s="26" t="n">
        <x:f>IF(OR(Z63="No",W63=""),"",IFERROR(V63/W63,0))</x:f>
        <x:v>2.3884228134684653</x:v>
      </x:c>
      <x:c r="Z63" s="27" t="str">
        <x:f>IF(AND(U63=TRUE,V63=0),"No","Yes")</x:f>
        <x:v>Yes</x:v>
      </x:c>
      <x:c r="AA63" s="27" t="str">
        <x:f>IF(Z63="No","Not comparable",IF(X63="","Unknown cost",IF(X63&gt;0,"Yes","No")))</x:f>
        <x:v>Yes</x:v>
      </x:c>
      <x:c r="AB63" s="20" t="str">
        <x:v>682,889</x:v>
      </x:c>
    </x:row>
    <x:row r="64">
      <x:c r="A64" s="20" t="str">
        <x:v>mysterious-nebula-499-pvp-1star</x:v>
      </x:c>
      <x:c r="B64" s="21" t="d">
        <x:v>2026-10-01T00:00:00.000Z</x:v>
      </x:c>
      <x:c r="C64" s="22" t="n">
        <x:v>150</x:v>
      </x:c>
      <x:c r="D64" s="20" t="str">
        <x:v>PTS scan card</x:v>
      </x:c>
      <x:c r="E64" s="20" t="str">
        <x:v>Mysterious Nebula</x:v>
      </x:c>
      <x:c r="F64" s="20" t="str">
        <x:v>PvP</x:v>
      </x:c>
      <x:c r="G64" s="23" t="n">
        <x:v>1</x:v>
      </x:c>
      <x:c r="H64" s="23" t="n">
        <x:v>499</x:v>
      </x:c>
      <x:c r="I64" s="23" t="str">
        <x:v>Delivery</x:v>
      </x:c>
      <x:c r="J64" s="23" t="n">
        <x:v>6</x:v>
      </x:c>
      <x:c r="K64" s="23" t="n">
        <x:v>239</x:v>
      </x:c>
      <x:c r="L64" s="23" t="n">
        <x:v>4600</x:v>
      </x:c>
      <x:c r="M64" s="20" t="str">
        <x:v>possible</x:v>
      </x:c>
      <x:c r="N64" s="23" t="n">
        <x:v>6162050</x:v>
      </x:c>
      <x:c r="O64" s="23" t="n">
        <x:v>2743642</x:v>
      </x:c>
      <x:c r="P64" s="23" t="n">
        <x:v>920508</x:v>
      </x:c>
      <x:c r="Q64" s="23" t="n">
        <x:v>2054016</x:v>
      </x:c>
      <x:c r="R64" s="24" t="b">
        <x:v>1</x:v>
      </x:c>
      <x:c r="S64" s="23" t="n">
        <x:v>4206000</x:v>
      </x:c>
      <x:c r="T64" s="24" t="b">
        <x:v>1</x:v>
      </x:c>
      <x:c r="U64" s="24" t="b">
        <x:v>1</x:v>
      </x:c>
      <x:c r="V64" s="25" t="n">
        <x:f>N64+1.5*O64+3*P64+3*Q64</x:f>
        <x:v>19201085</x:v>
      </x:c>
      <x:c r="W64" s="25" t="n">
        <x:f>IF(S64="","",S64*3)</x:f>
        <x:v>12618000</x:v>
      </x:c>
      <x:c r="X64" s="25" t="n">
        <x:f>IF(OR(Z64="No",W64=""),"",V64-W64)</x:f>
        <x:v>6583085</x:v>
      </x:c>
      <x:c r="Y64" s="26" t="n">
        <x:f>IF(OR(Z64="No",W64=""),"",IFERROR(V64/W64,0))</x:f>
        <x:v>1.5217217467110478</x:v>
      </x:c>
      <x:c r="Z64" s="27" t="str">
        <x:f>IF(AND(U64=TRUE,V64=0),"No","Yes")</x:f>
        <x:v>Yes</x:v>
      </x:c>
      <x:c r="AA64" s="27" t="str">
        <x:f>IF(Z64="No","Not comparable",IF(X64="","Unknown cost",IF(X64&gt;0,"Yes","No")))</x:f>
        <x:v>Yes</x:v>
      </x:c>
      <x:c r="AB64" s="20" t="str">
        <x:v>4.206M</x:v>
      </x:c>
    </x:row>
    <x:row r="65">
      <x:c r="A65" s="20" t="str">
        <x:v>medium-alien-encounter-617-pve-1star</x:v>
      </x:c>
      <x:c r="B65" s="21" t="d">
        <x:v>2026-10-01T00:00:00.000Z</x:v>
      </x:c>
      <x:c r="C65" s="22" t="n">
        <x:v>150</x:v>
      </x:c>
      <x:c r="D65" s="20" t="str">
        <x:v>PTS scan card</x:v>
      </x:c>
      <x:c r="E65" s="20" t="str">
        <x:v>Medium Alien Encounter</x:v>
      </x:c>
      <x:c r="F65" s="20" t="str">
        <x:v>PvE</x:v>
      </x:c>
      <x:c r="G65" s="23" t="n">
        <x:v>1</x:v>
      </x:c>
      <x:c r="H65" s="23" t="n">
        <x:v>617</x:v>
      </x:c>
      <x:c r="I65" s="23" t="str">
        <x:v>Combat</x:v>
      </x:c>
      <x:c r="J65" s="23" t="n">
        <x:v>1</x:v>
      </x:c>
      <x:c r="K65" s="23" t="n">
        <x:v>28</x:v>
      </x:c>
      <x:c r="L65" s="23" t="n">
        <x:v>4695</x:v>
      </x:c>
      <x:c r="M65" s="20" t="str">
        <x:v>possible</x:v>
      </x:c>
      <x:c r="N65" s="23" t="n">
        <x:v>0</x:v>
      </x:c>
      <x:c r="O65" s="23" t="n">
        <x:v>2340563</x:v>
      </x:c>
      <x:c r="P65" s="23" t="n">
        <x:v>0</x:v>
      </x:c>
      <x:c r="Q65" s="23" t="n">
        <x:v>0</x:v>
      </x:c>
      <x:c r="R65" s="24" t="b">
        <x:v>1</x:v>
      </x:c>
      <x:c r="S65" s="23" t="n">
        <x:v>866960</x:v>
      </x:c>
      <x:c r="T65" s="24" t="b">
        <x:v>0</x:v>
      </x:c>
      <x:c r="U65" s="24" t="b">
        <x:v>0</x:v>
      </x:c>
      <x:c r="V65" s="25" t="n">
        <x:f>N65+1.5*O65+3*P65+3*Q65</x:f>
        <x:v>3510844.5</x:v>
      </x:c>
      <x:c r="W65" s="25" t="n">
        <x:f>IF(S65="","",S65*3)</x:f>
        <x:v>2600880</x:v>
      </x:c>
      <x:c r="X65" s="25" t="n">
        <x:f>IF(OR(Z65="No",W65=""),"",V65-W65)</x:f>
        <x:v>909964.5</x:v>
      </x:c>
      <x:c r="Y65" s="26" t="n">
        <x:f>IF(OR(Z65="No",W65=""),"",IFERROR(V65/W65,0))</x:f>
        <x:v>1.3498679293162315</x:v>
      </x:c>
      <x:c r="Z65" s="27" t="str">
        <x:f>IF(AND(U65=TRUE,V65=0),"No","Yes")</x:f>
        <x:v>Yes</x:v>
      </x:c>
      <x:c r="AA65" s="27" t="str">
        <x:f>IF(Z65="No","Not comparable",IF(X65="","Unknown cost",IF(X65&gt;0,"Yes","No")))</x:f>
        <x:v>Yes</x:v>
      </x:c>
      <x:c r="AB65" s="20" t="str">
        <x:v>866,960</x:v>
      </x:c>
    </x:row>
    <x:row r="66">
      <x:c r="A66" s="20" t="str">
        <x:v>small-alien-encounter-655-pvp-4star</x:v>
      </x:c>
      <x:c r="B66" s="21" t="d">
        <x:v>2026-10-01T00:00:00.000Z</x:v>
      </x:c>
      <x:c r="C66" s="22" t="n">
        <x:v>150</x:v>
      </x:c>
      <x:c r="D66" s="20" t="str">
        <x:v>PTS scan card</x:v>
      </x:c>
      <x:c r="E66" s="20" t="str">
        <x:v>Small Alien Encounter</x:v>
      </x:c>
      <x:c r="F66" s="20" t="str">
        <x:v>PvP</x:v>
      </x:c>
      <x:c r="G66" s="23" t="n">
        <x:v>4</x:v>
      </x:c>
      <x:c r="H66" s="23" t="n">
        <x:v>655</x:v>
      </x:c>
      <x:c r="I66" s="23" t="str">
        <x:v>Combat</x:v>
      </x:c>
      <x:c r="J66" s="23" t="n">
        <x:v>5</x:v>
      </x:c>
      <x:c r="K66" s="23" t="n">
        <x:v>134</x:v>
      </x:c>
      <x:c r="L66" s="23" t="n">
        <x:v>5930</x:v>
      </x:c>
      <x:c r="M66" s="20" t="str">
        <x:v>possible</x:v>
      </x:c>
      <x:c r="N66" s="23" t="n">
        <x:v>29331771</x:v>
      </x:c>
      <x:c r="O66" s="23" t="n">
        <x:v>59363307</x:v>
      </x:c>
      <x:c r="P66" s="23" t="n">
        <x:v>0</x:v>
      </x:c>
      <x:c r="Q66" s="23" t="n">
        <x:v>0</x:v>
      </x:c>
      <x:c r="R66" s="24" t="b">
        <x:v>1</x:v>
      </x:c>
      <x:c r="S66" s="23" t="n">
        <x:v>18407000</x:v>
      </x:c>
      <x:c r="T66" s="24" t="b">
        <x:v>1</x:v>
      </x:c>
      <x:c r="U66" s="24" t="b">
        <x:v>1</x:v>
      </x:c>
      <x:c r="V66" s="25" t="n">
        <x:f>N66+1.5*O66+3*P66+3*Q66</x:f>
        <x:v>118376731.5</x:v>
      </x:c>
      <x:c r="W66" s="25" t="n">
        <x:f>IF(S66="","",S66*3)</x:f>
        <x:v>55221000</x:v>
      </x:c>
      <x:c r="X66" s="25" t="n">
        <x:f>IF(OR(Z66="No",W66=""),"",V66-W66)</x:f>
        <x:v>63155731.5</x:v>
      </x:c>
      <x:c r="Y66" s="26" t="n">
        <x:f>IF(OR(Z66="No",W66=""),"",IFERROR(V66/W66,0))</x:f>
        <x:v>2.1436904710164613</x:v>
      </x:c>
      <x:c r="Z66" s="27" t="str">
        <x:f>IF(AND(U66=TRUE,V66=0),"No","Yes")</x:f>
        <x:v>Yes</x:v>
      </x:c>
      <x:c r="AA66" s="27" t="str">
        <x:f>IF(Z66="No","Not comparable",IF(X66="","Unknown cost",IF(X66&gt;0,"Yes","No")))</x:f>
        <x:v>Yes</x:v>
      </x:c>
      <x:c r="AB66" s="20" t="str">
        <x:v>18.407M</x:v>
      </x:c>
    </x:row>
    <x:row r="67">
      <x:c r="A67" s="20" t="str">
        <x:v>small-alien-encounter-534-pve-3star</x:v>
      </x:c>
      <x:c r="B67" s="21" t="d">
        <x:v>2026-10-01T00:00:00.000Z</x:v>
      </x:c>
      <x:c r="C67" s="22" t="n">
        <x:v>150</x:v>
      </x:c>
      <x:c r="D67" s="20" t="str">
        <x:v>PTS scan card</x:v>
      </x:c>
      <x:c r="E67" s="20" t="str">
        <x:v>Small Alien Encounter</x:v>
      </x:c>
      <x:c r="F67" s="20" t="str">
        <x:v>PvE</x:v>
      </x:c>
      <x:c r="G67" s="23" t="n">
        <x:v>3</x:v>
      </x:c>
      <x:c r="H67" s="23" t="n">
        <x:v>534</x:v>
      </x:c>
      <x:c r="I67" s="23" t="str">
        <x:v>Combat</x:v>
      </x:c>
      <x:c r="J67" s="23" t="n">
        <x:v>2</x:v>
      </x:c>
      <x:c r="K67" s="23" t="n">
        <x:v>61</x:v>
      </x:c>
      <x:c r="L67" s="23" t="n">
        <x:v>6785</x:v>
      </x:c>
      <x:c r="M67" s="20" t="str">
        <x:v>possible</x:v>
      </x:c>
      <x:c r="N67" s="23" t="n">
        <x:v>8478329</x:v>
      </x:c>
      <x:c r="O67" s="23" t="n">
        <x:v>0</x:v>
      </x:c>
      <x:c r="P67" s="23" t="n">
        <x:v>0</x:v>
      </x:c>
      <x:c r="Q67" s="23" t="n">
        <x:v>0</x:v>
      </x:c>
      <x:c r="R67" s="24" t="b">
        <x:v>1</x:v>
      </x:c>
      <x:c r="S67" s="23" t="n">
        <x:v>4502000</x:v>
      </x:c>
      <x:c r="T67" s="24" t="b">
        <x:v>1</x:v>
      </x:c>
      <x:c r="U67" s="24" t="b">
        <x:v>1</x:v>
      </x:c>
      <x:c r="V67" s="25" t="n">
        <x:f>N67+1.5*O67+3*P67+3*Q67</x:f>
        <x:v>8478329</x:v>
      </x:c>
      <x:c r="W67" s="25" t="n">
        <x:f>IF(S67="","",S67*3)</x:f>
        <x:v>13506000</x:v>
      </x:c>
      <x:c r="X67" s="25" t="n">
        <x:f>IF(OR(Z67="No",W67=""),"",V67-W67)</x:f>
        <x:v>-5027671</x:v>
      </x:c>
      <x:c r="Y67" s="26" t="n">
        <x:f>IF(OR(Z67="No",W67=""),"",IFERROR(V67/W67,0))</x:f>
        <x:v>0.6277453724270694</x:v>
      </x:c>
      <x:c r="Z67" s="27" t="str">
        <x:f>IF(AND(U67=TRUE,V67=0),"No","Yes")</x:f>
        <x:v>Yes</x:v>
      </x:c>
      <x:c r="AA67" s="27" t="str">
        <x:f>IF(Z67="No","Not comparable",IF(X67="","Unknown cost",IF(X67&gt;0,"Yes","No")))</x:f>
        <x:v>No</x:v>
      </x:c>
      <x:c r="AB67" s="20" t="str">
        <x:v>4.502M</x:v>
      </x:c>
    </x:row>
    <x:row r="68">
      <x:c r="A68" s="20" t="str">
        <x:v>lost-debris-field-527-pvp-5star</x:v>
      </x:c>
      <x:c r="B68" s="21" t="d">
        <x:v>2026-10-01T00:00:00.000Z</x:v>
      </x:c>
      <x:c r="C68" s="22" t="n">
        <x:v>150</x:v>
      </x:c>
      <x:c r="D68" s="20" t="str">
        <x:v>PTS scan card</x:v>
      </x:c>
      <x:c r="E68" s="20" t="str">
        <x:v>Lost Debris Field</x:v>
      </x:c>
      <x:c r="F68" s="20" t="str">
        <x:v>PvP</x:v>
      </x:c>
      <x:c r="G68" s="23" t="n">
        <x:v>5</x:v>
      </x:c>
      <x:c r="H68" s="23" t="n">
        <x:v>527</x:v>
      </x:c>
      <x:c r="I68" s="23" t="str">
        <x:v>Combat</x:v>
      </x:c>
      <x:c r="J68" s="23" t="n">
        <x:v>3</x:v>
      </x:c>
      <x:c r="K68" s="23" t="n">
        <x:v>85</x:v>
      </x:c>
      <x:c r="L68" s="23" t="n">
        <x:v>16285</x:v>
      </x:c>
      <x:c r="M68" s="20" t="str">
        <x:v>possible</x:v>
      </x:c>
      <x:c r="N68" s="23" t="n">
        <x:v>15397951</x:v>
      </x:c>
      <x:c r="O68" s="23" t="n">
        <x:v>6855914</x:v>
      </x:c>
      <x:c r="P68" s="23" t="n">
        <x:v>2300202</x:v>
      </x:c>
      <x:c r="Q68" s="23" t="n">
        <x:v>0</x:v>
      </x:c>
      <x:c r="R68" s="24" t="b">
        <x:v>1</x:v>
      </x:c>
      <x:c r="S68" s="23" t="n">
        <x:v>11107000</x:v>
      </x:c>
      <x:c r="T68" s="24" t="b">
        <x:v>1</x:v>
      </x:c>
      <x:c r="U68" s="24" t="b">
        <x:v>1</x:v>
      </x:c>
      <x:c r="V68" s="25" t="n">
        <x:f>N68+1.5*O68+3*P68+3*Q68</x:f>
        <x:v>32582428</x:v>
      </x:c>
      <x:c r="W68" s="25" t="n">
        <x:f>IF(S68="","",S68*3)</x:f>
        <x:v>33321000</x:v>
      </x:c>
      <x:c r="X68" s="25" t="n">
        <x:f>IF(OR(Z68="No",W68=""),"",V68-W68)</x:f>
        <x:v>-738572</x:v>
      </x:c>
      <x:c r="Y68" s="26" t="n">
        <x:f>IF(OR(Z68="No",W68=""),"",IFERROR(V68/W68,0))</x:f>
        <x:v>0.977834638816362</x:v>
      </x:c>
      <x:c r="Z68" s="27" t="str">
        <x:f>IF(AND(U68=TRUE,V68=0),"No","Yes")</x:f>
        <x:v>Yes</x:v>
      </x:c>
      <x:c r="AA68" s="27" t="str">
        <x:f>IF(Z68="No","Not comparable",IF(X68="","Unknown cost",IF(X68&gt;0,"Yes","No")))</x:f>
        <x:v>No</x:v>
      </x:c>
      <x:c r="AB68" s="20" t="str">
        <x:v>11.107M</x:v>
      </x:c>
    </x:row>
    <x:row r="69">
      <x:c r="A69" s="20" t="str">
        <x:v>valuable-delivery-619-pvp-1star</x:v>
      </x:c>
      <x:c r="B69" s="21" t="d">
        <x:v>2026-10-01T00:00:00.000Z</x:v>
      </x:c>
      <x:c r="C69" s="22" t="n">
        <x:v>150</x:v>
      </x:c>
      <x:c r="D69" s="20" t="str">
        <x:v>PTS scan card</x:v>
      </x:c>
      <x:c r="E69" s="20" t="str">
        <x:v>Valuable Delivery</x:v>
      </x:c>
      <x:c r="F69" s="20" t="str">
        <x:v>PvP</x:v>
      </x:c>
      <x:c r="G69" s="23" t="n">
        <x:v>1</x:v>
      </x:c>
      <x:c r="H69" s="23" t="n">
        <x:v>619</x:v>
      </x:c>
      <x:c r="I69" s="23" t="str">
        <x:v>Delivery</x:v>
      </x:c>
      <x:c r="J69" s="23" t="n">
        <x:v>3</x:v>
      </x:c>
      <x:c r="K69" s="23" t="n">
        <x:v>125</x:v>
      </x:c>
      <x:c r="L69" s="23" t="n">
        <x:v>4410</x:v>
      </x:c>
      <x:c r="M69" s="20" t="str">
        <x:v>possible</x:v>
      </x:c>
      <x:c r="N69" s="23" t="n">
        <x:v>6121420</x:v>
      </x:c>
      <x:c r="O69" s="23" t="n">
        <x:v>0</x:v>
      </x:c>
      <x:c r="P69" s="23" t="n">
        <x:v>5379060</x:v>
      </x:c>
      <x:c r="Q69" s="23" t="n">
        <x:v>0</x:v>
      </x:c>
      <x:c r="R69" s="24" t="b">
        <x:v>1</x:v>
      </x:c>
      <x:c r="S69" s="23" t="n">
        <x:v>2609000</x:v>
      </x:c>
      <x:c r="T69" s="24" t="b">
        <x:v>1</x:v>
      </x:c>
      <x:c r="U69" s="24" t="b">
        <x:v>0</x:v>
      </x:c>
      <x:c r="V69" s="25" t="n">
        <x:f>N69+1.5*O69+3*P69+3*Q69</x:f>
        <x:v>22258600</x:v>
      </x:c>
      <x:c r="W69" s="25" t="n">
        <x:f>IF(S69="","",S69*3)</x:f>
        <x:v>7827000</x:v>
      </x:c>
      <x:c r="X69" s="25" t="n">
        <x:f>IF(OR(Z69="No",W69=""),"",V69-W69)</x:f>
        <x:v>14431600</x:v>
      </x:c>
      <x:c r="Y69" s="26" t="n">
        <x:f>IF(OR(Z69="No",W69=""),"",IFERROR(V69/W69,0))</x:f>
        <x:v>2.843822665133512</x:v>
      </x:c>
      <x:c r="Z69" s="27" t="str">
        <x:f>IF(AND(U69=TRUE,V69=0),"No","Yes")</x:f>
        <x:v>Yes</x:v>
      </x:c>
      <x:c r="AA69" s="27" t="str">
        <x:f>IF(Z69="No","Not comparable",IF(X69="","Unknown cost",IF(X69&gt;0,"Yes","No")))</x:f>
        <x:v>Yes</x:v>
      </x:c>
      <x:c r="AB69" s="20" t="str">
        <x:v>2.609M</x:v>
      </x:c>
    </x:row>
    <x:row r="70">
      <x:c r="A70" s="20" t="str">
        <x:v>delivery-crystal-513-pve-2star</x:v>
      </x:c>
      <x:c r="B70" s="21" t="d">
        <x:v>2026-10-01T00:00:00.000Z</x:v>
      </x:c>
      <x:c r="C70" s="22" t="n">
        <x:v>150</x:v>
      </x:c>
      <x:c r="D70" s="20" t="str">
        <x:v>PTS scan card</x:v>
      </x:c>
      <x:c r="E70" s="20" t="str">
        <x:v>Delivery: Crystal</x:v>
      </x:c>
      <x:c r="F70" s="20" t="str">
        <x:v>PvE</x:v>
      </x:c>
      <x:c r="G70" s="23" t="n">
        <x:v>2</x:v>
      </x:c>
      <x:c r="H70" s="23" t="n">
        <x:v>513</x:v>
      </x:c>
      <x:c r="I70" s="23" t="str">
        <x:v>Delivery</x:v>
      </x:c>
      <x:c r="J70" s="23" t="n">
        <x:v>2</x:v>
      </x:c>
      <x:c r="K70" s="23" t="n">
        <x:v>80</x:v>
      </x:c>
      <x:c r="L70" s="23" t="n">
        <x:v>8685</x:v>
      </x:c>
      <x:c r="M70" s="20" t="str">
        <x:v>possible</x:v>
      </x:c>
      <x:c r="N70" s="23" t="n">
        <x:v>0</x:v>
      </x:c>
      <x:c r="O70" s="23" t="n">
        <x:v>7936806</x:v>
      </x:c>
      <x:c r="P70" s="23" t="n">
        <x:v>0</x:v>
      </x:c>
      <x:c r="Q70" s="23" t="n">
        <x:v>0</x:v>
      </x:c>
      <x:c r="R70" s="24" t="b">
        <x:v>1</x:v>
      </x:c>
      <x:c r="S70" s="23" t="n">
        <x:v>2883000</x:v>
      </x:c>
      <x:c r="T70" s="24" t="b">
        <x:v>1</x:v>
      </x:c>
      <x:c r="U70" s="24" t="b">
        <x:v>0</x:v>
      </x:c>
      <x:c r="V70" s="25" t="n">
        <x:f>N70+1.5*O70+3*P70+3*Q70</x:f>
        <x:v>11905209</x:v>
      </x:c>
      <x:c r="W70" s="25" t="n">
        <x:f>IF(S70="","",S70*3)</x:f>
        <x:v>8649000</x:v>
      </x:c>
      <x:c r="X70" s="25" t="n">
        <x:f>IF(OR(Z70="No",W70=""),"",V70-W70)</x:f>
        <x:v>3256209</x:v>
      </x:c>
      <x:c r="Y70" s="26" t="n">
        <x:f>IF(OR(Z70="No",W70=""),"",IFERROR(V70/W70,0))</x:f>
        <x:v>1.3764838709677418</x:v>
      </x:c>
      <x:c r="Z70" s="27" t="str">
        <x:f>IF(AND(U70=TRUE,V70=0),"No","Yes")</x:f>
        <x:v>Yes</x:v>
      </x:c>
      <x:c r="AA70" s="27" t="str">
        <x:f>IF(Z70="No","Not comparable",IF(X70="","Unknown cost",IF(X70&gt;0,"Yes","No")))</x:f>
        <x:v>Yes</x:v>
      </x:c>
      <x:c r="AB70" s="20" t="str">
        <x:v>2.883M</x:v>
      </x:c>
    </x:row>
    <x:row r="71">
      <x:c r="A71" s="20" t="str">
        <x:v>medium-alien-encounter-373-pvp-1star</x:v>
      </x:c>
      <x:c r="B71" s="21" t="d">
        <x:v>2026-10-01T00:00:00.000Z</x:v>
      </x:c>
      <x:c r="C71" s="22" t="n">
        <x:v>10</x:v>
      </x:c>
      <x:c r="D71" s="20" t="str">
        <x:v>PTS scan card</x:v>
      </x:c>
      <x:c r="E71" s="20" t="str">
        <x:v>Medium Alien Encounter</x:v>
      </x:c>
      <x:c r="F71" s="20" t="str">
        <x:v>PvP</x:v>
      </x:c>
      <x:c r="G71" s="23" t="n">
        <x:v>1</x:v>
      </x:c>
      <x:c r="H71" s="23" t="n">
        <x:v>373</x:v>
      </x:c>
      <x:c r="I71" s="23" t="str">
        <x:v>Combat</x:v>
      </x:c>
      <x:c r="J71" s="23" t="n">
        <x:v>1</x:v>
      </x:c>
      <x:c r="K71" s="23" t="n">
        <x:v>20</x:v>
      </x:c>
      <x:c r="L71" s="23" t="n">
        <x:v>2890</x:v>
      </x:c>
      <x:c r="M71" s="20" t="str">
        <x:v>possible</x:v>
      </x:c>
      <x:c r="N71" s="23" t="n">
        <x:v>0</x:v>
      </x:c>
      <x:c r="O71" s="23" t="n">
        <x:v>0</x:v>
      </x:c>
      <x:c r="P71" s="23" t="n">
        <x:v>454302</x:v>
      </x:c>
      <x:c r="Q71" s="23" t="n">
        <x:v>0</x:v>
      </x:c>
      <x:c r="R71" s="24" t="b">
        <x:v>1</x:v>
      </x:c>
      <x:c r="S71" s="23" t="n">
        <x:v>129777</x:v>
      </x:c>
      <x:c r="T71" s="24" t="b">
        <x:v>0</x:v>
      </x:c>
      <x:c r="U71" s="24" t="b">
        <x:v>0</x:v>
      </x:c>
      <x:c r="V71" s="25" t="n">
        <x:f>N71+1.5*O71+3*P71+3*Q71</x:f>
        <x:v>1362906</x:v>
      </x:c>
      <x:c r="W71" s="25" t="n">
        <x:f>IF(S71="","",S71*3)</x:f>
        <x:v>389331</x:v>
      </x:c>
      <x:c r="X71" s="25" t="n">
        <x:f>IF(OR(Z71="No",W71=""),"",V71-W71)</x:f>
        <x:v>973575</x:v>
      </x:c>
      <x:c r="Y71" s="26" t="n">
        <x:f>IF(OR(Z71="No",W71=""),"",IFERROR(V71/W71,0))</x:f>
        <x:v>3.5006357058646755</x:v>
      </x:c>
      <x:c r="Z71" s="27" t="str">
        <x:f>IF(AND(U71=TRUE,V71=0),"No","Yes")</x:f>
        <x:v>Yes</x:v>
      </x:c>
      <x:c r="AA71" s="27" t="str">
        <x:f>IF(Z71="No","Not comparable",IF(X71="","Unknown cost",IF(X71&gt;0,"Yes","No")))</x:f>
        <x:v>Yes</x:v>
      </x:c>
      <x:c r="AB71" s="20" t="str">
        <x:v>129,777</x:v>
      </x:c>
    </x:row>
    <x:row r="72">
      <x:c r="A72" s="20" t="str">
        <x:v>small-alien-encounter-277-pvp-5star</x:v>
      </x:c>
      <x:c r="B72" s="21" t="d">
        <x:v>2026-10-01T00:00:00.000Z</x:v>
      </x:c>
      <x:c r="C72" s="22" t="n">
        <x:v>10</x:v>
      </x:c>
      <x:c r="D72" s="20" t="str">
        <x:v>PTS scan card</x:v>
      </x:c>
      <x:c r="E72" s="20" t="str">
        <x:v>Small Alien Encounter</x:v>
      </x:c>
      <x:c r="F72" s="20" t="str">
        <x:v>PvP</x:v>
      </x:c>
      <x:c r="G72" s="23" t="n">
        <x:v>5</x:v>
      </x:c>
      <x:c r="H72" s="23" t="n">
        <x:v>277</x:v>
      </x:c>
      <x:c r="I72" s="23" t="str">
        <x:v>Combat</x:v>
      </x:c>
      <x:c r="J72" s="23" t="n">
        <x:v>4</x:v>
      </x:c>
      <x:c r="K72" s="23" t="n">
        <x:v>84</x:v>
      </x:c>
      <x:c r="L72" s="23" t="n">
        <x:v>3650</x:v>
      </x:c>
      <x:c r="M72" s="20" t="str">
        <x:v>possible</x:v>
      </x:c>
      <x:c r="N72" s="23" t="n">
        <x:v>4946149</x:v>
      </x:c>
      <x:c r="O72" s="23" t="n">
        <x:v>3297433</x:v>
      </x:c>
      <x:c r="P72" s="23" t="n">
        <x:v>0</x:v>
      </x:c>
      <x:c r="Q72" s="23" t="n">
        <x:v>0</x:v>
      </x:c>
      <x:c r="R72" s="24" t="b">
        <x:v>1</x:v>
      </x:c>
      <x:c r="S72" s="23" t="n">
        <x:v>1927000</x:v>
      </x:c>
      <x:c r="T72" s="24" t="b">
        <x:v>1</x:v>
      </x:c>
      <x:c r="U72" s="24" t="b">
        <x:v>1</x:v>
      </x:c>
      <x:c r="V72" s="25" t="n">
        <x:f>N72+1.5*O72+3*P72+3*Q72</x:f>
        <x:v>9892298.5</x:v>
      </x:c>
      <x:c r="W72" s="25" t="n">
        <x:f>IF(S72="","",S72*3)</x:f>
        <x:v>5781000</x:v>
      </x:c>
      <x:c r="X72" s="25" t="n">
        <x:f>IF(OR(Z72="No",W72=""),"",V72-W72)</x:f>
        <x:v>4111298.5</x:v>
      </x:c>
      <x:c r="Y72" s="26" t="n">
        <x:f>IF(OR(Z72="No",W72=""),"",IFERROR(V72/W72,0))</x:f>
        <x:v>1.711174277806608</x:v>
      </x:c>
      <x:c r="Z72" s="27" t="str">
        <x:f>IF(AND(U72=TRUE,V72=0),"No","Yes")</x:f>
        <x:v>Yes</x:v>
      </x:c>
      <x:c r="AA72" s="27" t="str">
        <x:f>IF(Z72="No","Not comparable",IF(X72="","Unknown cost",IF(X72&gt;0,"Yes","No")))</x:f>
        <x:v>Yes</x:v>
      </x:c>
      <x:c r="AB72" s="20" t="str">
        <x:v>1.927Mn</x:v>
      </x:c>
    </x:row>
    <x:row r="73">
      <x:c r="A73" s="20" t="str">
        <x:v>resource-deuterium-370-pve-1star</x:v>
      </x:c>
      <x:c r="B73" s="21" t="d">
        <x:v>2026-10-01T00:00:00.000Z</x:v>
      </x:c>
      <x:c r="C73" s="22" t="n">
        <x:v>10</x:v>
      </x:c>
      <x:c r="D73" s="20" t="str">
        <x:v>PTS scan card</x:v>
      </x:c>
      <x:c r="E73" s="20" t="str">
        <x:v>Resource: Deuterium</x:v>
      </x:c>
      <x:c r="F73" s="20" t="str">
        <x:v>PvE</x:v>
      </x:c>
      <x:c r="G73" s="23" t="n">
        <x:v>1</x:v>
      </x:c>
      <x:c r="H73" s="23" t="n">
        <x:v>370</x:v>
      </x:c>
      <x:c r="I73" s="23" t="str">
        <x:v>Combat</x:v>
      </x:c>
      <x:c r="J73" s="23" t="n">
        <x:v>5</x:v>
      </x:c>
      <x:c r="K73" s="23" t="n">
        <x:v>98</x:v>
      </x:c>
      <x:c r="L73" s="23" t="n">
        <x:v>3365</x:v>
      </x:c>
      <x:c r="M73" s="20" t="str">
        <x:v>possible</x:v>
      </x:c>
      <x:c r="N73" s="23" t="n">
        <x:v>0</x:v>
      </x:c>
      <x:c r="O73" s="23" t="n">
        <x:v>0</x:v>
      </x:c>
      <x:c r="P73" s="23" t="n">
        <x:v>1214980</x:v>
      </x:c>
      <x:c r="Q73" s="23" t="n">
        <x:v>0</x:v>
      </x:c>
      <x:c r="R73" s="24" t="b">
        <x:v>1</x:v>
      </x:c>
      <x:c r="S73" s="23" t="n">
        <x:v>643665</x:v>
      </x:c>
      <x:c r="T73" s="24" t="b">
        <x:v>0</x:v>
      </x:c>
      <x:c r="U73" s="24" t="b">
        <x:v>0</x:v>
      </x:c>
      <x:c r="V73" s="25" t="n">
        <x:f>N73+1.5*O73+3*P73+3*Q73</x:f>
        <x:v>3644940</x:v>
      </x:c>
      <x:c r="W73" s="25" t="n">
        <x:f>IF(S73="","",S73*3)</x:f>
        <x:v>1930995</x:v>
      </x:c>
      <x:c r="X73" s="25" t="n">
        <x:f>IF(OR(Z73="No",W73=""),"",V73-W73)</x:f>
        <x:v>1713945</x:v>
      </x:c>
      <x:c r="Y73" s="26" t="n">
        <x:f>IF(OR(Z73="No",W73=""),"",IFERROR(V73/W73,0))</x:f>
        <x:v>1.8875968088990391</x:v>
      </x:c>
      <x:c r="Z73" s="27" t="str">
        <x:f>IF(AND(U73=TRUE,V73=0),"No","Yes")</x:f>
        <x:v>Yes</x:v>
      </x:c>
      <x:c r="AA73" s="27" t="str">
        <x:f>IF(Z73="No","Not comparable",IF(X73="","Unknown cost",IF(X73&gt;0,"Yes","No")))</x:f>
        <x:v>Yes</x:v>
      </x:c>
      <x:c r="AB73" s="20" t="str">
        <x:v>643,665</x:v>
      </x:c>
    </x:row>
    <x:row r="74">
      <x:c r="A74" s="20" t="str">
        <x:v>resource-metal-358-pvp-4star</x:v>
      </x:c>
      <x:c r="B74" s="21" t="d">
        <x:v>2026-10-01T00:00:00.000Z</x:v>
      </x:c>
      <x:c r="C74" s="22" t="n">
        <x:v>10</x:v>
      </x:c>
      <x:c r="D74" s="20" t="str">
        <x:v>PTS scan card</x:v>
      </x:c>
      <x:c r="E74" s="20" t="str">
        <x:v>Resource: Metal</x:v>
      </x:c>
      <x:c r="F74" s="20" t="str">
        <x:v>PvP</x:v>
      </x:c>
      <x:c r="G74" s="23" t="n">
        <x:v>4</x:v>
      </x:c>
      <x:c r="H74" s="23" t="n">
        <x:v>358</x:v>
      </x:c>
      <x:c r="I74" s="23" t="str">
        <x:v>Combat</x:v>
      </x:c>
      <x:c r="J74" s="23" t="n">
        <x:v>2</x:v>
      </x:c>
      <x:c r="K74" s="23" t="n">
        <x:v>38</x:v>
      </x:c>
      <x:c r="L74" s="23" t="n">
        <x:v>2985</x:v>
      </x:c>
      <x:c r="M74" s="20" t="str">
        <x:v>possible</x:v>
      </x:c>
      <x:c r="N74" s="23" t="n">
        <x:v>10669954</x:v>
      </x:c>
      <x:c r="O74" s="23" t="n">
        <x:v>0</x:v>
      </x:c>
      <x:c r="P74" s="23" t="n">
        <x:v>0</x:v>
      </x:c>
      <x:c r="Q74" s="23" t="n">
        <x:v>0</x:v>
      </x:c>
      <x:c r="R74" s="24" t="b">
        <x:v>1</x:v>
      </x:c>
      <x:c r="S74" s="23" t="n">
        <x:v>996462</x:v>
      </x:c>
      <x:c r="T74" s="24" t="b">
        <x:v>0</x:v>
      </x:c>
      <x:c r="U74" s="24" t="b">
        <x:v>0</x:v>
      </x:c>
      <x:c r="V74" s="25" t="n">
        <x:f>N74+1.5*O74+3*P74+3*Q74</x:f>
        <x:v>10669954</x:v>
      </x:c>
      <x:c r="W74" s="25" t="n">
        <x:f>IF(S74="","",S74*3)</x:f>
        <x:v>2989386</x:v>
      </x:c>
      <x:c r="X74" s="25" t="n">
        <x:f>IF(OR(Z74="No",W74=""),"",V74-W74)</x:f>
        <x:v>7680568</x:v>
      </x:c>
      <x:c r="Y74" s="26" t="n">
        <x:f>IF(OR(Z74="No",W74=""),"",IFERROR(V74/W74,0))</x:f>
        <x:v>3.569279444006227</x:v>
      </x:c>
      <x:c r="Z74" s="27" t="str">
        <x:f>IF(AND(U74=TRUE,V74=0),"No","Yes")</x:f>
        <x:v>Yes</x:v>
      </x:c>
      <x:c r="AA74" s="27" t="str">
        <x:f>IF(Z74="No","Not comparable",IF(X74="","Unknown cost",IF(X74&gt;0,"Yes","No")))</x:f>
        <x:v>Yes</x:v>
      </x:c>
      <x:c r="AB74" s="20" t="str">
        <x:v>996,462</x:v>
      </x:c>
    </x:row>
    <x:row r="75">
      <x:c r="A75" s="20" t="str">
        <x:v>delivery-crystal-280-pvp-4star</x:v>
      </x:c>
      <x:c r="B75" s="21" t="d">
        <x:v>2026-10-01T00:00:00.000Z</x:v>
      </x:c>
      <x:c r="C75" s="22" t="n">
        <x:v>50</x:v>
      </x:c>
      <x:c r="D75" s="20" t="str">
        <x:v>PTS scan card</x:v>
      </x:c>
      <x:c r="E75" s="20" t="str">
        <x:v>Delivery: Crystal</x:v>
      </x:c>
      <x:c r="F75" s="20" t="str">
        <x:v>PvP</x:v>
      </x:c>
      <x:c r="G75" s="23" t="n">
        <x:v>4</x:v>
      </x:c>
      <x:c r="H75" s="23" t="n">
        <x:v>280</x:v>
      </x:c>
      <x:c r="I75" s="23" t="str">
        <x:v>Delivery</x:v>
      </x:c>
      <x:c r="J75" s="23" t="n">
        <x:v>3</x:v>
      </x:c>
      <x:c r="K75" s="23" t="n">
        <x:v>100</x:v>
      </x:c>
      <x:c r="L75" s="23" t="n">
        <x:v>3745</x:v>
      </x:c>
      <x:c r="M75" s="20" t="str">
        <x:v>possible</x:v>
      </x:c>
      <x:c r="N75" s="23" t="n">
        <x:v>0</x:v>
      </x:c>
      <x:c r="O75" s="23" t="n">
        <x:v>8505702</x:v>
      </x:c>
      <x:c r="P75" s="23" t="n">
        <x:v>0</x:v>
      </x:c>
      <x:c r="Q75" s="23" t="n">
        <x:v>0</x:v>
      </x:c>
      <x:c r="R75" s="24" t="b">
        <x:v>1</x:v>
      </x:c>
      <x:c r="S75" s="23" t="n">
        <x:v>1169000</x:v>
      </x:c>
      <x:c r="T75" s="24" t="b">
        <x:v>1</x:v>
      </x:c>
      <x:c r="U75" s="24" t="b">
        <x:v>0</x:v>
      </x:c>
      <x:c r="V75" s="25" t="n">
        <x:f>N75+1.5*O75+3*P75+3*Q75</x:f>
        <x:v>12758553</x:v>
      </x:c>
      <x:c r="W75" s="25" t="n">
        <x:f>IF(S75="","",S75*3)</x:f>
        <x:v>3507000</x:v>
      </x:c>
      <x:c r="X75" s="25" t="n">
        <x:f>IF(OR(Z75="No",W75=""),"",V75-W75)</x:f>
        <x:v>9251553</x:v>
      </x:c>
      <x:c r="Y75" s="26" t="n">
        <x:f>IF(OR(Z75="No",W75=""),"",IFERROR(V75/W75,0))</x:f>
        <x:v>3.6380248075278017</x:v>
      </x:c>
      <x:c r="Z75" s="27" t="str">
        <x:f>IF(AND(U75=TRUE,V75=0),"No","Yes")</x:f>
        <x:v>Yes</x:v>
      </x:c>
      <x:c r="AA75" s="27" t="str">
        <x:f>IF(Z75="No","Not comparable",IF(X75="","Unknown cost",IF(X75&gt;0,"Yes","No")))</x:f>
        <x:v>Yes</x:v>
      </x:c>
      <x:c r="AB75" s="20" t="str">
        <x:v>1.169M</x:v>
      </x:c>
    </x:row>
    <x:row r="76">
      <x:c r="A76" s="20" t="str">
        <x:v>small-alien-encounter-359-pve-2star</x:v>
      </x:c>
      <x:c r="B76" s="21" t="d">
        <x:v>2026-10-01T00:00:00.000Z</x:v>
      </x:c>
      <x:c r="C76" s="22" t="n">
        <x:v>50</x:v>
      </x:c>
      <x:c r="D76" s="20" t="str">
        <x:v>PTS scan card</x:v>
      </x:c>
      <x:c r="E76" s="20" t="str">
        <x:v>Small Alien Encounter</x:v>
      </x:c>
      <x:c r="F76" s="20" t="str">
        <x:v>PvE</x:v>
      </x:c>
      <x:c r="G76" s="23" t="n">
        <x:v>2</x:v>
      </x:c>
      <x:c r="H76" s="23" t="n">
        <x:v>359</x:v>
      </x:c>
      <x:c r="I76" s="23" t="str">
        <x:v>Combat</x:v>
      </x:c>
      <x:c r="J76" s="23" t="n">
        <x:v>4</x:v>
      </x:c>
      <x:c r="K76" s="23" t="n">
        <x:v>105</x:v>
      </x:c>
      <x:c r="L76" s="23" t="n">
        <x:v>5645</x:v>
      </x:c>
      <x:c r="M76" s="20" t="str">
        <x:v>possible</x:v>
      </x:c>
      <x:c r="N76" s="23" t="n">
        <x:v>2564140</x:v>
      </x:c>
      <x:c r="O76" s="23" t="n">
        <x:v>0</x:v>
      </x:c>
      <x:c r="P76" s="23" t="n">
        <x:v>427356</x:v>
      </x:c>
      <x:c r="Q76" s="23" t="n">
        <x:v>0</x:v>
      </x:c>
      <x:c r="R76" s="24" t="b">
        <x:v>1</x:v>
      </x:c>
      <x:c r="S76" s="23" t="n">
        <x:v>999244</x:v>
      </x:c>
      <x:c r="T76" s="24" t="b">
        <x:v>0</x:v>
      </x:c>
      <x:c r="U76" s="24" t="b">
        <x:v>1</x:v>
      </x:c>
      <x:c r="V76" s="25" t="n">
        <x:f>N76+1.5*O76+3*P76+3*Q76</x:f>
        <x:v>3846208</x:v>
      </x:c>
      <x:c r="W76" s="25" t="n">
        <x:f>IF(S76="","",S76*3)</x:f>
        <x:v>2997732</x:v>
      </x:c>
      <x:c r="X76" s="25" t="n">
        <x:f>IF(OR(Z76="No",W76=""),"",V76-W76)</x:f>
        <x:v>848476</x:v>
      </x:c>
      <x:c r="Y76" s="26" t="n">
        <x:f>IF(OR(Z76="No",W76=""),"",IFERROR(V76/W76,0))</x:f>
        <x:v>1.283039311052489</x:v>
      </x:c>
      <x:c r="Z76" s="27" t="str">
        <x:f>IF(AND(U76=TRUE,V76=0),"No","Yes")</x:f>
        <x:v>Yes</x:v>
      </x:c>
      <x:c r="AA76" s="27" t="str">
        <x:f>IF(Z76="No","Not comparable",IF(X76="","Unknown cost",IF(X76&gt;0,"Yes","No")))</x:f>
        <x:v>Yes</x:v>
      </x:c>
      <x:c r="AB76" s="20" t="str">
        <x:v>999,244</x:v>
      </x:c>
    </x:row>
    <x:row r="77">
      <x:c r="A77" s="20" t="str">
        <x:v>resource-crystal-340-pve-1star</x:v>
      </x:c>
      <x:c r="B77" s="21" t="d">
        <x:v>2026-10-01T00:00:00.000Z</x:v>
      </x:c>
      <x:c r="C77" s="22" t="n">
        <x:v>50</x:v>
      </x:c>
      <x:c r="D77" s="20" t="str">
        <x:v>PTS scan card</x:v>
      </x:c>
      <x:c r="E77" s="20" t="str">
        <x:v>Resource: Crystal</x:v>
      </x:c>
      <x:c r="F77" s="20" t="str">
        <x:v>PvE</x:v>
      </x:c>
      <x:c r="G77" s="23" t="n">
        <x:v>1</x:v>
      </x:c>
      <x:c r="H77" s="23" t="n">
        <x:v>340</x:v>
      </x:c>
      <x:c r="I77" s="23" t="str">
        <x:v>Combat</x:v>
      </x:c>
      <x:c r="J77" s="23" t="n">
        <x:v>1</x:v>
      </x:c>
      <x:c r="K77" s="23" t="n">
        <x:v>26</x:v>
      </x:c>
      <x:c r="L77" s="23" t="n">
        <x:v>3935</x:v>
      </x:c>
      <x:c r="M77" s="20" t="str">
        <x:v>possible</x:v>
      </x:c>
      <x:c r="N77" s="23" t="n">
        <x:v>0</x:v>
      </x:c>
      <x:c r="O77" s="23" t="n">
        <x:v>414108</x:v>
      </x:c>
      <x:c r="P77" s="23" t="n">
        <x:v>0</x:v>
      </x:c>
      <x:c r="Q77" s="23" t="n">
        <x:v>0</x:v>
      </x:c>
      <x:c r="R77" s="24" t="b">
        <x:v>1</x:v>
      </x:c>
      <x:c r="S77" s="23" t="n">
        <x:v>118295</x:v>
      </x:c>
      <x:c r="T77" s="24" t="b">
        <x:v>0</x:v>
      </x:c>
      <x:c r="U77" s="24" t="b">
        <x:v>0</x:v>
      </x:c>
      <x:c r="V77" s="25" t="n">
        <x:f>N77+1.5*O77+3*P77+3*Q77</x:f>
        <x:v>621162</x:v>
      </x:c>
      <x:c r="W77" s="25" t="n">
        <x:f>IF(S77="","",S77*3)</x:f>
        <x:v>354885</x:v>
      </x:c>
      <x:c r="X77" s="25" t="n">
        <x:f>IF(OR(Z77="No",W77=""),"",V77-W77)</x:f>
        <x:v>266277</x:v>
      </x:c>
      <x:c r="Y77" s="26" t="n">
        <x:f>IF(OR(Z77="No",W77=""),"",IFERROR(V77/W77,0))</x:f>
        <x:v>1.7503191174605859</x:v>
      </x:c>
      <x:c r="Z77" s="27" t="str">
        <x:f>IF(AND(U77=TRUE,V77=0),"No","Yes")</x:f>
        <x:v>Yes</x:v>
      </x:c>
      <x:c r="AA77" s="27" t="str">
        <x:f>IF(Z77="No","Not comparable",IF(X77="","Unknown cost",IF(X77&gt;0,"Yes","No")))</x:f>
        <x:v>Yes</x:v>
      </x:c>
      <x:c r="AB77" s="20" t="str">
        <x:v>118,295</x:v>
      </x:c>
    </x:row>
    <x:row r="78">
      <x:c r="A78" s="20" t="str">
        <x:v>delivery-deuterium-316-pve-2star</x:v>
      </x:c>
      <x:c r="B78" s="21" t="d">
        <x:v>2026-10-01T00:00:00.000Z</x:v>
      </x:c>
      <x:c r="C78" s="22" t="n">
        <x:v>50</x:v>
      </x:c>
      <x:c r="D78" s="20" t="str">
        <x:v>PTS scan card</x:v>
      </x:c>
      <x:c r="E78" s="20" t="str">
        <x:v>Delivery: Deuterium</x:v>
      </x:c>
      <x:c r="F78" s="20" t="str">
        <x:v>PvE</x:v>
      </x:c>
      <x:c r="G78" s="23" t="n">
        <x:v>2</x:v>
      </x:c>
      <x:c r="H78" s="23" t="n">
        <x:v>316</x:v>
      </x:c>
      <x:c r="I78" s="23" t="str">
        <x:v>Delivery</x:v>
      </x:c>
      <x:c r="J78" s="23" t="n">
        <x:v>6</x:v>
      </x:c>
      <x:c r="K78" s="23" t="n">
        <x:v>185</x:v>
      </x:c>
      <x:c r="L78" s="23" t="n">
        <x:v>5170</x:v>
      </x:c>
      <x:c r="M78" s="20" t="str">
        <x:v>possible</x:v>
      </x:c>
      <x:c r="N78" s="23" t="n">
        <x:v>0</x:v>
      </x:c>
      <x:c r="O78" s="23" t="n">
        <x:v>0</x:v>
      </x:c>
      <x:c r="P78" s="23" t="n">
        <x:v>2535660</x:v>
      </x:c>
      <x:c r="Q78" s="23" t="n">
        <x:v>0</x:v>
      </x:c>
      <x:c r="R78" s="24" t="b">
        <x:v>1</x:v>
      </x:c>
      <x:c r="S78" s="23" t="n">
        <x:v>1319000</x:v>
      </x:c>
      <x:c r="T78" s="24" t="b">
        <x:v>1</x:v>
      </x:c>
      <x:c r="U78" s="24" t="b">
        <x:v>0</x:v>
      </x:c>
      <x:c r="V78" s="25" t="n">
        <x:f>N78+1.5*O78+3*P78+3*Q78</x:f>
        <x:v>7606980</x:v>
      </x:c>
      <x:c r="W78" s="25" t="n">
        <x:f>IF(S78="","",S78*3)</x:f>
        <x:v>3957000</x:v>
      </x:c>
      <x:c r="X78" s="25" t="n">
        <x:f>IF(OR(Z78="No",W78=""),"",V78-W78)</x:f>
        <x:v>3649980</x:v>
      </x:c>
      <x:c r="Y78" s="26" t="n">
        <x:f>IF(OR(Z78="No",W78=""),"",IFERROR(V78/W78,0))</x:f>
        <x:v>1.9224109173616375</x:v>
      </x:c>
      <x:c r="Z78" s="27" t="str">
        <x:f>IF(AND(U78=TRUE,V78=0),"No","Yes")</x:f>
        <x:v>Yes</x:v>
      </x:c>
      <x:c r="AA78" s="27" t="str">
        <x:f>IF(Z78="No","Not comparable",IF(X78="","Unknown cost",IF(X78&gt;0,"Yes","No")))</x:f>
        <x:v>Yes</x:v>
      </x:c>
      <x:c r="AB78" s="20" t="str">
        <x:v>1.319M</x:v>
      </x:c>
    </x:row>
    <x:row r="79">
      <x:c r="A79" s="20" t="str">
        <x:v>delivery-metal-280-pve-1star</x:v>
      </x:c>
      <x:c r="B79" s="21" t="d">
        <x:v>2026-10-01T00:00:00.000Z</x:v>
      </x:c>
      <x:c r="C79" s="22" t="n">
        <x:v>150</x:v>
      </x:c>
      <x:c r="D79" s="20" t="str">
        <x:v>PTS scan card</x:v>
      </x:c>
      <x:c r="E79" s="20" t="str">
        <x:v>Delivery: Metal</x:v>
      </x:c>
      <x:c r="F79" s="20" t="str">
        <x:v>PvE</x:v>
      </x:c>
      <x:c r="G79" s="23" t="n">
        <x:v>1</x:v>
      </x:c>
      <x:c r="H79" s="23" t="n">
        <x:v>280</x:v>
      </x:c>
      <x:c r="I79" s="23" t="str">
        <x:v>Delivery</x:v>
      </x:c>
      <x:c r="J79" s="23" t="n">
        <x:v>1</x:v>
      </x:c>
      <x:c r="K79" s="23" t="n">
        <x:v>50</x:v>
      </x:c>
      <x:c r="L79" s="23" t="n">
        <x:v>4505</x:v>
      </x:c>
      <x:c r="M79" s="20" t="str">
        <x:v>possible</x:v>
      </x:c>
      <x:c r="N79" s="23" t="n">
        <x:v>511543</x:v>
      </x:c>
      <x:c r="O79" s="23" t="n">
        <x:v>0</x:v>
      </x:c>
      <x:c r="P79" s="23" t="n">
        <x:v>0</x:v>
      </x:c>
      <x:c r="Q79" s="23" t="n">
        <x:v>0</x:v>
      </x:c>
      <x:c r="R79" s="24" t="b">
        <x:v>1</x:v>
      </x:c>
      <x:c r="S79" s="23" t="n">
        <x:v>97419</x:v>
      </x:c>
      <x:c r="T79" s="24" t="b">
        <x:v>0</x:v>
      </x:c>
      <x:c r="U79" s="24" t="b">
        <x:v>0</x:v>
      </x:c>
      <x:c r="V79" s="25" t="n">
        <x:f>N79+1.5*O79+3*P79+3*Q79</x:f>
        <x:v>511543</x:v>
      </x:c>
      <x:c r="W79" s="25" t="n">
        <x:f>IF(S79="","",S79*3)</x:f>
        <x:v>292257</x:v>
      </x:c>
      <x:c r="X79" s="25" t="n">
        <x:f>IF(OR(Z79="No",W79=""),"",V79-W79)</x:f>
        <x:v>219286</x:v>
      </x:c>
      <x:c r="Y79" s="26" t="n">
        <x:f>IF(OR(Z79="No",W79=""),"",IFERROR(V79/W79,0))</x:f>
        <x:v>1.7503190684910883</x:v>
      </x:c>
      <x:c r="Z79" s="27" t="str">
        <x:f>IF(AND(U79=TRUE,V79=0),"No","Yes")</x:f>
        <x:v>Yes</x:v>
      </x:c>
      <x:c r="AA79" s="27" t="str">
        <x:f>IF(Z79="No","Not comparable",IF(X79="","Unknown cost",IF(X79&gt;0,"Yes","No")))</x:f>
        <x:v>Yes</x:v>
      </x:c>
      <x:c r="AB79" s="20" t="str">
        <x:v>97,419</x:v>
      </x:c>
    </x:row>
    <x:row r="80">
      <x:c r="A80" s="20" t="str">
        <x:v>medium-alien-encounter-383-pve-5star</x:v>
      </x:c>
      <x:c r="B80" s="21" t="d">
        <x:v>2026-10-01T00:00:00.000Z</x:v>
      </x:c>
      <x:c r="C80" s="22" t="n">
        <x:v>150</x:v>
      </x:c>
      <x:c r="D80" s="20" t="str">
        <x:v>PTS scan card</x:v>
      </x:c>
      <x:c r="E80" s="20" t="str">
        <x:v>Medium Alien Encounter</x:v>
      </x:c>
      <x:c r="F80" s="20" t="str">
        <x:v>PvE</x:v>
      </x:c>
      <x:c r="G80" s="23" t="n">
        <x:v>5</x:v>
      </x:c>
      <x:c r="H80" s="23" t="n">
        <x:v>383</x:v>
      </x:c>
      <x:c r="I80" s="23" t="str">
        <x:v>Combat</x:v>
      </x:c>
      <x:c r="J80" s="23" t="n">
        <x:v>4</x:v>
      </x:c>
      <x:c r="K80" s="23" t="n">
        <x:v>132</x:v>
      </x:c>
      <x:c r="L80" s="23" t="n">
        <x:v>7640</x:v>
      </x:c>
      <x:c r="M80" s="20" t="str">
        <x:v>possible</x:v>
      </x:c>
      <x:c r="N80" s="23" t="n">
        <x:v>1852205</x:v>
      </x:c>
      <x:c r="O80" s="23" t="n">
        <x:v>8223788</x:v>
      </x:c>
      <x:c r="P80" s="23" t="n">
        <x:v>209916</x:v>
      </x:c>
      <x:c r="Q80" s="23" t="n">
        <x:v>0</x:v>
      </x:c>
      <x:c r="R80" s="24" t="b">
        <x:v>1</x:v>
      </x:c>
      <x:c r="S80" s="23" t="n">
        <x:v>2665000</x:v>
      </x:c>
      <x:c r="T80" s="24" t="b">
        <x:v>1</x:v>
      </x:c>
      <x:c r="U80" s="24" t="b">
        <x:v>0</x:v>
      </x:c>
      <x:c r="V80" s="25" t="n">
        <x:f>N80+1.5*O80+3*P80+3*Q80</x:f>
        <x:v>14817635</x:v>
      </x:c>
      <x:c r="W80" s="25" t="n">
        <x:f>IF(S80="","",S80*3)</x:f>
        <x:v>7995000</x:v>
      </x:c>
      <x:c r="X80" s="25" t="n">
        <x:f>IF(OR(Z80="No",W80=""),"",V80-W80)</x:f>
        <x:v>6822635</x:v>
      </x:c>
      <x:c r="Y80" s="26" t="n">
        <x:f>IF(OR(Z80="No",W80=""),"",IFERROR(V80/W80,0))</x:f>
        <x:v>1.85336272670419</x:v>
      </x:c>
      <x:c r="Z80" s="27" t="str">
        <x:f>IF(AND(U80=TRUE,V80=0),"No","Yes")</x:f>
        <x:v>Yes</x:v>
      </x:c>
      <x:c r="AA80" s="27" t="str">
        <x:f>IF(Z80="No","Not comparable",IF(X80="","Unknown cost",IF(X80&gt;0,"Yes","No")))</x:f>
        <x:v>Yes</x:v>
      </x:c>
      <x:c r="AB80" s="20" t="str">
        <x:v>2.665Mn</x:v>
      </x:c>
    </x:row>
    <x:row r="81">
      <x:c r="A81" s="20" t="str">
        <x:v>medium-alien-encounter-297-pve-1star</x:v>
      </x:c>
      <x:c r="B81" s="21" t="d">
        <x:v>2026-10-01T00:00:00.000Z</x:v>
      </x:c>
      <x:c r="C81" s="22" t="n">
        <x:v>150</x:v>
      </x:c>
      <x:c r="D81" s="20" t="str">
        <x:v>PTS scan card</x:v>
      </x:c>
      <x:c r="E81" s="20" t="str">
        <x:v>Medium Alien Encounter</x:v>
      </x:c>
      <x:c r="F81" s="20" t="str">
        <x:v>PvE</x:v>
      </x:c>
      <x:c r="G81" s="23" t="n">
        <x:v>1</x:v>
      </x:c>
      <x:c r="H81" s="23" t="n">
        <x:v>297</x:v>
      </x:c>
      <x:c r="I81" s="23" t="str">
        <x:v>Combat</x:v>
      </x:c>
      <x:c r="J81" s="23" t="n">
        <x:v>3</x:v>
      </x:c>
      <x:c r="K81" s="23" t="n">
        <x:v>102</x:v>
      </x:c>
      <x:c r="L81" s="23" t="n">
        <x:v>5835</x:v>
      </x:c>
      <x:c r="M81" s="20" t="str">
        <x:v>possible</x:v>
      </x:c>
      <x:c r="N81" s="23" t="n">
        <x:v>845821</x:v>
      </x:c>
      <x:c r="O81" s="23" t="n">
        <x:v>124053</x:v>
      </x:c>
      <x:c r="P81" s="23" t="n">
        <x:v>219913</x:v>
      </x:c>
      <x:c r="Q81" s="23" t="n">
        <x:v>0</x:v>
      </x:c>
      <x:c r="R81" s="24" t="b">
        <x:v>1</x:v>
      </x:c>
      <x:c r="S81" s="23" t="n">
        <x:v>310002</x:v>
      </x:c>
      <x:c r="T81" s="24" t="b">
        <x:v>0</x:v>
      </x:c>
      <x:c r="U81" s="24" t="b">
        <x:v>0</x:v>
      </x:c>
      <x:c r="V81" s="25" t="n">
        <x:f>N81+1.5*O81+3*P81+3*Q81</x:f>
        <x:v>1691639.5</x:v>
      </x:c>
      <x:c r="W81" s="25" t="n">
        <x:f>IF(S81="","",S81*3)</x:f>
        <x:v>930006</x:v>
      </x:c>
      <x:c r="X81" s="25" t="n">
        <x:f>IF(OR(Z81="No",W81=""),"",V81-W81)</x:f>
        <x:v>761633.5</x:v>
      </x:c>
      <x:c r="Y81" s="26" t="n">
        <x:f>IF(OR(Z81="No",W81=""),"",IFERROR(V81/W81,0))</x:f>
        <x:v>1.8189554691045005</x:v>
      </x:c>
      <x:c r="Z81" s="27" t="str">
        <x:f>IF(AND(U81=TRUE,V81=0),"No","Yes")</x:f>
        <x:v>Yes</x:v>
      </x:c>
      <x:c r="AA81" s="27" t="str">
        <x:f>IF(Z81="No","Not comparable",IF(X81="","Unknown cost",IF(X81&gt;0,"Yes","No")))</x:f>
        <x:v>Yes</x:v>
      </x:c>
      <x:c r="AB81" s="20" t="str">
        <x:v>310,002</x:v>
      </x:c>
    </x:row>
    <x:row r="82">
      <x:c r="A82" s="20" t="str">
        <x:v>alien-encounter-259-pvp-5star</x:v>
      </x:c>
      <x:c r="B82" s="21" t="d">
        <x:v>2026-10-01T00:00:00.000Z</x:v>
      </x:c>
      <x:c r="C82" s="22" t="n">
        <x:v>150</x:v>
      </x:c>
      <x:c r="D82" s="20" t="str">
        <x:v>PTS scan card</x:v>
      </x:c>
      <x:c r="E82" s="20" t="str">
        <x:v>Alien Encounter</x:v>
      </x:c>
      <x:c r="F82" s="20" t="str">
        <x:v>PvP</x:v>
      </x:c>
      <x:c r="G82" s="23" t="n">
        <x:v>5</x:v>
      </x:c>
      <x:c r="H82" s="23" t="n">
        <x:v>259</x:v>
      </x:c>
      <x:c r="I82" s="23" t="str">
        <x:v>Combat</x:v>
      </x:c>
      <x:c r="J82" s="23" t="n">
        <x:v>3</x:v>
      </x:c>
      <x:c r="K82" s="23" t="n">
        <x:v>97</x:v>
      </x:c>
      <x:c r="L82" s="23" t="n">
        <x:v>5835</x:v>
      </x:c>
      <x:c r="M82" s="20" t="str">
        <x:v>possible</x:v>
      </x:c>
      <x:c r="N82" s="23" t="n">
        <x:v>6808649</x:v>
      </x:c>
      <x:c r="O82" s="23" t="n">
        <x:v>9078198</x:v>
      </x:c>
      <x:c r="P82" s="23" t="n">
        <x:v>0</x:v>
      </x:c>
      <x:c r="Q82" s="23" t="n">
        <x:v>0</x:v>
      </x:c>
      <x:c r="R82" s="24" t="b">
        <x:v>1</x:v>
      </x:c>
      <x:c r="S82" s="23" t="n">
        <x:v>1351000</x:v>
      </x:c>
      <x:c r="T82" s="24" t="b">
        <x:v>1</x:v>
      </x:c>
      <x:c r="U82" s="24" t="b">
        <x:v>0</x:v>
      </x:c>
      <x:c r="V82" s="25" t="n">
        <x:f>N82+1.5*O82+3*P82+3*Q82</x:f>
        <x:v>20425946</x:v>
      </x:c>
      <x:c r="W82" s="25" t="n">
        <x:f>IF(S82="","",S82*3)</x:f>
        <x:v>4053000</x:v>
      </x:c>
      <x:c r="X82" s="25" t="n">
        <x:f>IF(OR(Z82="No",W82=""),"",V82-W82)</x:f>
        <x:v>16372946</x:v>
      </x:c>
      <x:c r="Y82" s="26" t="n">
        <x:f>IF(OR(Z82="No",W82=""),"",IFERROR(V82/W82,0))</x:f>
        <x:v>5.0397103380212185</x:v>
      </x:c>
      <x:c r="Z82" s="27" t="str">
        <x:f>IF(AND(U82=TRUE,V82=0),"No","Yes")</x:f>
        <x:v>Yes</x:v>
      </x:c>
      <x:c r="AA82" s="27" t="str">
        <x:f>IF(Z82="No","Not comparable",IF(X82="","Unknown cost",IF(X82&gt;0,"Yes","No")))</x:f>
        <x:v>Yes</x:v>
      </x:c>
      <x:c r="AB82" s="20" t="str">
        <x:v>1.351Mn</x:v>
      </x:c>
    </x:row>
    <x:row r="83">
      <x:c r="A83" s="20" t="str">
        <x:v>resource-metal-462-pve-1star</x:v>
      </x:c>
      <x:c r="B83" s="21" t="d">
        <x:v>2026-10-01T00:00:00.000Z</x:v>
      </x:c>
      <x:c r="C83" s="22" t="n">
        <x:v>10</x:v>
      </x:c>
      <x:c r="D83" s="20" t="str">
        <x:v>PTS scan card</x:v>
      </x:c>
      <x:c r="E83" s="20" t="str">
        <x:v>Resource: Metal</x:v>
      </x:c>
      <x:c r="F83" s="20" t="str">
        <x:v>PvE</x:v>
      </x:c>
      <x:c r="G83" s="23" t="n">
        <x:v>1</x:v>
      </x:c>
      <x:c r="H83" s="23" t="n">
        <x:v>462</x:v>
      </x:c>
      <x:c r="I83" s="23" t="str">
        <x:v>Combat</x:v>
      </x:c>
      <x:c r="J83" s="23" t="n">
        <x:v>9</x:v>
      </x:c>
      <x:c r="K83" s="23" t="n">
        <x:v>167</x:v>
      </x:c>
      <x:c r="L83" s="23" t="n">
        <x:v>3365</x:v>
      </x:c>
      <x:c r="M83" s="20" t="str">
        <x:v>possible</x:v>
      </x:c>
      <x:c r="N83" s="23" t="n">
        <x:v>59177259</x:v>
      </x:c>
      <x:c r="O83" s="23" t="n">
        <x:v>0</x:v>
      </x:c>
      <x:c r="P83" s="23" t="n">
        <x:v>0</x:v>
      </x:c>
      <x:c r="Q83" s="23" t="n">
        <x:v>0</x:v>
      </x:c>
      <x:c r="R83" s="24" t="b">
        <x:v>1</x:v>
      </x:c>
      <x:c r="S83" s="23" t="n">
        <x:v>8404000</x:v>
      </x:c>
      <x:c r="T83" s="24" t="b">
        <x:v>1</x:v>
      </x:c>
      <x:c r="U83" s="24" t="b">
        <x:v>0</x:v>
      </x:c>
      <x:c r="V83" s="25" t="n">
        <x:f>N83+1.5*O83+3*P83+3*Q83</x:f>
        <x:v>59177259</x:v>
      </x:c>
      <x:c r="W83" s="25" t="n">
        <x:f>IF(S83="","",S83*3)</x:f>
        <x:v>25212000</x:v>
      </x:c>
      <x:c r="X83" s="25" t="n">
        <x:f>IF(OR(Z83="No",W83=""),"",V83-W83)</x:f>
        <x:v>33965259</x:v>
      </x:c>
      <x:c r="Y83" s="26" t="n">
        <x:f>IF(OR(Z83="No",W83=""),"",IFERROR(V83/W83,0))</x:f>
        <x:v>2.3471862208472154</x:v>
      </x:c>
      <x:c r="Z83" s="27" t="str">
        <x:f>IF(AND(U83=TRUE,V83=0),"No","Yes")</x:f>
        <x:v>Yes</x:v>
      </x:c>
      <x:c r="AA83" s="27" t="str">
        <x:f>IF(Z83="No","Not comparable",IF(X83="","Unknown cost",IF(X83&gt;0,"Yes","No")))</x:f>
        <x:v>Yes</x:v>
      </x:c>
      <x:c r="AB83" s="20" t="str">
        <x:v>8.404Mn</x:v>
      </x:c>
    </x:row>
    <x:row r="84">
      <x:c r="A84" s="20" t="str">
        <x:v>delivery-crystal-521-pve-2star</x:v>
      </x:c>
      <x:c r="B84" s="21" t="d">
        <x:v>2026-10-01T00:00:00.000Z</x:v>
      </x:c>
      <x:c r="C84" s="22" t="n">
        <x:v>10</x:v>
      </x:c>
      <x:c r="D84" s="20" t="str">
        <x:v>PTS scan card</x:v>
      </x:c>
      <x:c r="E84" s="20" t="str">
        <x:v>Delivery: Crystal</x:v>
      </x:c>
      <x:c r="F84" s="20" t="str">
        <x:v>PvE</x:v>
      </x:c>
      <x:c r="G84" s="23" t="n">
        <x:v>2</x:v>
      </x:c>
      <x:c r="H84" s="23" t="n">
        <x:v>521</x:v>
      </x:c>
      <x:c r="I84" s="23" t="str">
        <x:v>Delivery</x:v>
      </x:c>
      <x:c r="J84" s="23" t="n">
        <x:v>6</x:v>
      </x:c>
      <x:c r="K84" s="23" t="n">
        <x:v>128</x:v>
      </x:c>
      <x:c r="L84" s="23" t="n">
        <x:v>2985</x:v>
      </x:c>
      <x:c r="M84" s="20" t="str">
        <x:v>possible</x:v>
      </x:c>
      <x:c r="N84" s="23" t="n">
        <x:v>0</x:v>
      </x:c>
      <x:c r="O84" s="23" t="n">
        <x:v>56965716</x:v>
      </x:c>
      <x:c r="P84" s="23" t="n">
        <x:v>0</x:v>
      </x:c>
      <x:c r="Q84" s="23" t="n">
        <x:v>0</x:v>
      </x:c>
      <x:c r="R84" s="24" t="b">
        <x:v>1</x:v>
      </x:c>
      <x:c r="S84" s="23" t="n">
        <x:v>12637000</x:v>
      </x:c>
      <x:c r="T84" s="24" t="b">
        <x:v>1</x:v>
      </x:c>
      <x:c r="U84" s="24" t="b">
        <x:v>0</x:v>
      </x:c>
      <x:c r="V84" s="25" t="n">
        <x:f>N84+1.5*O84+3*P84+3*Q84</x:f>
        <x:v>85448574</x:v>
      </x:c>
      <x:c r="W84" s="25" t="n">
        <x:f>IF(S84="","",S84*3)</x:f>
        <x:v>37911000</x:v>
      </x:c>
      <x:c r="X84" s="25" t="n">
        <x:f>IF(OR(Z84="No",W84=""),"",V84-W84)</x:f>
        <x:v>47537574</x:v>
      </x:c>
      <x:c r="Y84" s="26" t="n">
        <x:f>IF(OR(Z84="No",W84=""),"",IFERROR(V84/W84,0))</x:f>
        <x:v>2.2539256152567857</x:v>
      </x:c>
      <x:c r="Z84" s="27" t="str">
        <x:f>IF(AND(U84=TRUE,V84=0),"No","Yes")</x:f>
        <x:v>Yes</x:v>
      </x:c>
      <x:c r="AA84" s="27" t="str">
        <x:f>IF(Z84="No","Not comparable",IF(X84="","Unknown cost",IF(X84&gt;0,"Yes","No")))</x:f>
        <x:v>Yes</x:v>
      </x:c>
      <x:c r="AB84" s="20" t="str">
        <x:v>12.637Mn</x:v>
      </x:c>
    </x:row>
    <x:row r="85">
      <x:c r="A85" s="20" t="str">
        <x:v>rescue-408-pve-2star</x:v>
      </x:c>
      <x:c r="B85" s="21" t="d">
        <x:v>2026-10-01T00:00:00.000Z</x:v>
      </x:c>
      <x:c r="C85" s="22" t="n">
        <x:v>10</x:v>
      </x:c>
      <x:c r="D85" s="20" t="str">
        <x:v>PTS scan card</x:v>
      </x:c>
      <x:c r="E85" s="20" t="str">
        <x:v>Rescue</x:v>
      </x:c>
      <x:c r="F85" s="20" t="str">
        <x:v>PvE</x:v>
      </x:c>
      <x:c r="G85" s="23" t="n">
        <x:v>2</x:v>
      </x:c>
      <x:c r="H85" s="23" t="n">
        <x:v>408</x:v>
      </x:c>
      <x:c r="I85" s="23" t="str">
        <x:v>Combat</x:v>
      </x:c>
      <x:c r="J85" s="23" t="n">
        <x:v>1</x:v>
      </x:c>
      <x:c r="K85" s="23" t="n">
        <x:v>21</x:v>
      </x:c>
      <x:c r="L85" s="23" t="n">
        <x:v>3460</x:v>
      </x:c>
      <x:c r="M85" s="20" t="str">
        <x:v>possible</x:v>
      </x:c>
      <x:c r="N85" s="23" t="n">
        <x:v>0</x:v>
      </x:c>
      <x:c r="O85" s="23" t="n">
        <x:v>0</x:v>
      </x:c>
      <x:c r="P85" s="23" t="n">
        <x:v>0</x:v>
      </x:c>
      <x:c r="Q85" s="23" t="n">
        <x:v>0</x:v>
      </x:c>
      <x:c r="R85" s="24" t="b">
        <x:v>1</x:v>
      </x:c>
      <x:c r="S85" s="23" t="n">
        <x:v>1649000</x:v>
      </x:c>
      <x:c r="T85" s="24" t="b">
        <x:v>1</x:v>
      </x:c>
      <x:c r="U85" s="24" t="b">
        <x:v>1</x:v>
      </x:c>
      <x:c r="V85" s="25" t="n">
        <x:f>N85+1.5*O85+3*P85+3*Q85</x:f>
        <x:v>0</x:v>
      </x:c>
      <x:c r="W85" s="25" t="n">
        <x:f>IF(S85="","",S85*3)</x:f>
        <x:v>4947000</x:v>
      </x:c>
      <x:c r="X85" s="25" t="str">
        <x:f>IF(OR(Z85="No",W85=""),"",V85-W85)</x:f>
      </x:c>
      <x:c r="Y85" s="26" t="str">
        <x:f>IF(OR(Z85="No",W85=""),"",IFERROR(V85/W85,0))</x:f>
      </x:c>
      <x:c r="Z85" s="27" t="str">
        <x:f>IF(AND(U85=TRUE,V85=0),"No","Yes")</x:f>
        <x:v>No</x:v>
      </x:c>
      <x:c r="AA85" s="27" t="str">
        <x:f>IF(Z85="No","Not comparable",IF(X85="","Unknown cost",IF(X85&gt;0,"Yes","No")))</x:f>
        <x:v>Not comparable</x:v>
      </x:c>
      <x:c r="AB85" s="20" t="str">
        <x:v>1.649Mn</x:v>
      </x:c>
    </x:row>
    <x:row r="86">
      <x:c r="A86" s="20" t="str">
        <x:v>alien-encounter-514-pve-1star</x:v>
      </x:c>
      <x:c r="B86" s="21" t="d">
        <x:v>2026-10-01T00:00:00.000Z</x:v>
      </x:c>
      <x:c r="C86" s="22" t="n">
        <x:v>10</x:v>
      </x:c>
      <x:c r="D86" s="20" t="str">
        <x:v>PTS scan card</x:v>
      </x:c>
      <x:c r="E86" s="20" t="str">
        <x:v>Alien Encounter</x:v>
      </x:c>
      <x:c r="F86" s="20" t="str">
        <x:v>PvE</x:v>
      </x:c>
      <x:c r="G86" s="23" t="n">
        <x:v>1</x:v>
      </x:c>
      <x:c r="H86" s="23" t="n">
        <x:v>514</x:v>
      </x:c>
      <x:c r="I86" s="23" t="str">
        <x:v>Combat</x:v>
      </x:c>
      <x:c r="J86" s="23" t="n">
        <x:v>7</x:v>
      </x:c>
      <x:c r="K86" s="23" t="n">
        <x:v>124</x:v>
      </x:c>
      <x:c r="L86" s="23" t="n">
        <x:v>3555</x:v>
      </x:c>
      <x:c r="M86" s="20" t="str">
        <x:v>possible</x:v>
      </x:c>
      <x:c r="N86" s="23" t="n">
        <x:v>9785556</x:v>
      </x:c>
      <x:c r="O86" s="23" t="n">
        <x:v>17557204</x:v>
      </x:c>
      <x:c r="P86" s="23" t="n">
        <x:v>13137585</x:v>
      </x:c>
      <x:c r="Q86" s="23" t="n">
        <x:v>0</x:v>
      </x:c>
      <x:c r="R86" s="24" t="b">
        <x:v>1</x:v>
      </x:c>
      <x:c r="S86" s="23" t="n">
        <x:v>7272000</x:v>
      </x:c>
      <x:c r="T86" s="24" t="b">
        <x:v>1</x:v>
      </x:c>
      <x:c r="U86" s="24" t="b">
        <x:v>0</x:v>
      </x:c>
      <x:c r="V86" s="25" t="n">
        <x:f>N86+1.5*O86+3*P86+3*Q86</x:f>
        <x:v>75534117</x:v>
      </x:c>
      <x:c r="W86" s="25" t="n">
        <x:f>IF(S86="","",S86*3)</x:f>
        <x:v>21816000</x:v>
      </x:c>
      <x:c r="X86" s="25" t="n">
        <x:f>IF(OR(Z86="No",W86=""),"",V86-W86)</x:f>
        <x:v>53718117</x:v>
      </x:c>
      <x:c r="Y86" s="26" t="n">
        <x:f>IF(OR(Z86="No",W86=""),"",IFERROR(V86/W86,0))</x:f>
        <x:v>3.462326595159516</x:v>
      </x:c>
      <x:c r="Z86" s="27" t="str">
        <x:f>IF(AND(U86=TRUE,V86=0),"No","Yes")</x:f>
        <x:v>Yes</x:v>
      </x:c>
      <x:c r="AA86" s="27" t="str">
        <x:f>IF(Z86="No","Not comparable",IF(X86="","Unknown cost",IF(X86&gt;0,"Yes","No")))</x:f>
        <x:v>Yes</x:v>
      </x:c>
      <x:c r="AB86" s="20" t="str">
        <x:v>7.272Mn</x:v>
      </x:c>
    </x:row>
    <x:row r="87">
      <x:c r="A87" s="20" t="str">
        <x:v>small-alien-encounter-443-pve-1star</x:v>
      </x:c>
      <x:c r="B87" s="21" t="d">
        <x:v>2026-10-01T00:00:00.000Z</x:v>
      </x:c>
      <x:c r="C87" s="22" t="n">
        <x:v>50</x:v>
      </x:c>
      <x:c r="D87" s="20" t="str">
        <x:v>PTS scan card</x:v>
      </x:c>
      <x:c r="E87" s="20" t="str">
        <x:v>Small Alien Encounter</x:v>
      </x:c>
      <x:c r="F87" s="20" t="str">
        <x:v>PvE</x:v>
      </x:c>
      <x:c r="G87" s="23" t="n">
        <x:v>1</x:v>
      </x:c>
      <x:c r="H87" s="23" t="n">
        <x:v>443</x:v>
      </x:c>
      <x:c r="I87" s="23" t="str">
        <x:v>Combat</x:v>
      </x:c>
      <x:c r="J87" s="23" t="n">
        <x:v>1</x:v>
      </x:c>
      <x:c r="K87" s="23" t="n">
        <x:v>23</x:v>
      </x:c>
      <x:c r="L87" s="23" t="n">
        <x:v>3080</x:v>
      </x:c>
      <x:c r="M87" s="20" t="str">
        <x:v>possible</x:v>
      </x:c>
      <x:c r="N87" s="23" t="n">
        <x:v>0</x:v>
      </x:c>
      <x:c r="O87" s="23" t="n">
        <x:v>0</x:v>
      </x:c>
      <x:c r="P87" s="23" t="n">
        <x:v>0</x:v>
      </x:c>
      <x:c r="Q87" s="23" t="n">
        <x:v>0</x:v>
      </x:c>
      <x:c r="R87" s="24" t="b">
        <x:v>1</x:v>
      </x:c>
      <x:c r="S87" s="23" t="n">
        <x:v>895439</x:v>
      </x:c>
      <x:c r="T87" s="24" t="b">
        <x:v>0</x:v>
      </x:c>
      <x:c r="U87" s="24" t="b">
        <x:v>1</x:v>
      </x:c>
      <x:c r="V87" s="25" t="n">
        <x:f>N87+1.5*O87+3*P87+3*Q87</x:f>
        <x:v>0</x:v>
      </x:c>
      <x:c r="W87" s="25" t="n">
        <x:f>IF(S87="","",S87*3)</x:f>
        <x:v>2686317</x:v>
      </x:c>
      <x:c r="X87" s="25" t="str">
        <x:f>IF(OR(Z87="No",W87=""),"",V87-W87)</x:f>
      </x:c>
      <x:c r="Y87" s="26" t="str">
        <x:f>IF(OR(Z87="No",W87=""),"",IFERROR(V87/W87,0))</x:f>
      </x:c>
      <x:c r="Z87" s="27" t="str">
        <x:f>IF(AND(U87=TRUE,V87=0),"No","Yes")</x:f>
        <x:v>No</x:v>
      </x:c>
      <x:c r="AA87" s="27" t="str">
        <x:f>IF(Z87="No","Not comparable",IF(X87="","Unknown cost",IF(X87&gt;0,"Yes","No")))</x:f>
        <x:v>Not comparable</x:v>
      </x:c>
      <x:c r="AB87" s="20" t="str">
        <x:v>895,439</x:v>
      </x:c>
    </x:row>
    <x:row r="88">
      <x:c r="A88" s="20" t="str">
        <x:v>defend-480-pve-4star</x:v>
      </x:c>
      <x:c r="B88" s="21" t="d">
        <x:v>2026-10-01T00:00:00.000Z</x:v>
      </x:c>
      <x:c r="C88" s="22" t="n">
        <x:v>50</x:v>
      </x:c>
      <x:c r="D88" s="20" t="str">
        <x:v>PTS scan card</x:v>
      </x:c>
      <x:c r="E88" s="20" t="str">
        <x:v>Defend</x:v>
      </x:c>
      <x:c r="F88" s="20" t="str">
        <x:v>PvE</x:v>
      </x:c>
      <x:c r="G88" s="23" t="n">
        <x:v>4</x:v>
      </x:c>
      <x:c r="H88" s="23" t="n">
        <x:v>480</x:v>
      </x:c>
      <x:c r="I88" s="23" t="str">
        <x:v>Combat</x:v>
      </x:c>
      <x:c r="J88" s="23" t="n">
        <x:v>3</x:v>
      </x:c>
      <x:c r="K88" s="23" t="n">
        <x:v>62</x:v>
      </x:c>
      <x:c r="L88" s="23" t="n">
        <x:v>7450</x:v>
      </x:c>
      <x:c r="M88" s="20" t="str">
        <x:v>possible</x:v>
      </x:c>
      <x:c r="N88" s="23" t="n">
        <x:v>0</x:v>
      </x:c>
      <x:c r="O88" s="23" t="n">
        <x:v>0</x:v>
      </x:c>
      <x:c r="P88" s="23" t="n">
        <x:v>0</x:v>
      </x:c>
      <x:c r="Q88" s="23" t="n">
        <x:v>0</x:v>
      </x:c>
      <x:c r="R88" s="24" t="b">
        <x:v>1</x:v>
      </x:c>
      <x:c r="S88" s="23" t="n">
        <x:v>11642000</x:v>
      </x:c>
      <x:c r="T88" s="24" t="b">
        <x:v>1</x:v>
      </x:c>
      <x:c r="U88" s="24" t="b">
        <x:v>1</x:v>
      </x:c>
      <x:c r="V88" s="25" t="n">
        <x:f>N88+1.5*O88+3*P88+3*Q88</x:f>
        <x:v>0</x:v>
      </x:c>
      <x:c r="W88" s="25" t="n">
        <x:f>IF(S88="","",S88*3)</x:f>
        <x:v>34926000</x:v>
      </x:c>
      <x:c r="X88" s="25" t="str">
        <x:f>IF(OR(Z88="No",W88=""),"",V88-W88)</x:f>
      </x:c>
      <x:c r="Y88" s="26" t="str">
        <x:f>IF(OR(Z88="No",W88=""),"",IFERROR(V88/W88,0))</x:f>
      </x:c>
      <x:c r="Z88" s="27" t="str">
        <x:f>IF(AND(U88=TRUE,V88=0),"No","Yes")</x:f>
        <x:v>No</x:v>
      </x:c>
      <x:c r="AA88" s="27" t="str">
        <x:f>IF(Z88="No","Not comparable",IF(X88="","Unknown cost",IF(X88&gt;0,"Yes","No")))</x:f>
        <x:v>Not comparable</x:v>
      </x:c>
      <x:c r="AB88" s="20" t="str">
        <x:v>11.642Mn</x:v>
      </x:c>
    </x:row>
    <x:row r="89">
      <x:c r="A89" s="20" t="str">
        <x:v>delivery-metal-409-pvp-4star</x:v>
      </x:c>
      <x:c r="B89" s="21" t="d">
        <x:v>2026-10-01T00:00:00.000Z</x:v>
      </x:c>
      <x:c r="C89" s="22" t="n">
        <x:v>50</x:v>
      </x:c>
      <x:c r="D89" s="20" t="str">
        <x:v>PTS scan card</x:v>
      </x:c>
      <x:c r="E89" s="20" t="str">
        <x:v>Delivery: Metal</x:v>
      </x:c>
      <x:c r="F89" s="20" t="str">
        <x:v>PvP</x:v>
      </x:c>
      <x:c r="G89" s="23" t="n">
        <x:v>4</x:v>
      </x:c>
      <x:c r="H89" s="23" t="n">
        <x:v>409</x:v>
      </x:c>
      <x:c r="I89" s="23" t="str">
        <x:v>Delivery</x:v>
      </x:c>
      <x:c r="J89" s="23" t="n">
        <x:v>4</x:v>
      </x:c>
      <x:c r="K89" s="23" t="n">
        <x:v>108</x:v>
      </x:c>
      <x:c r="L89" s="23" t="n">
        <x:v>6975</x:v>
      </x:c>
      <x:c r="M89" s="20" t="str">
        <x:v>possible</x:v>
      </x:c>
      <x:c r="N89" s="23" t="n">
        <x:v>227312888</x:v>
      </x:c>
      <x:c r="O89" s="23" t="n">
        <x:v>0</x:v>
      </x:c>
      <x:c r="P89" s="23" t="n">
        <x:v>0</x:v>
      </x:c>
      <x:c r="Q89" s="23" t="n">
        <x:v>0</x:v>
      </x:c>
      <x:c r="R89" s="24" t="b">
        <x:v>1</x:v>
      </x:c>
      <x:c r="S89" s="23" t="n">
        <x:v>13227000</x:v>
      </x:c>
      <x:c r="T89" s="24" t="b">
        <x:v>1</x:v>
      </x:c>
      <x:c r="U89" s="24" t="b">
        <x:v>0</x:v>
      </x:c>
      <x:c r="V89" s="25" t="n">
        <x:f>N89+1.5*O89+3*P89+3*Q89</x:f>
        <x:v>227312888</x:v>
      </x:c>
      <x:c r="W89" s="25" t="n">
        <x:f>IF(S89="","",S89*3)</x:f>
        <x:v>39681000</x:v>
      </x:c>
      <x:c r="X89" s="25" t="n">
        <x:f>IF(OR(Z89="No",W89=""),"",V89-W89)</x:f>
        <x:v>187631888</x:v>
      </x:c>
      <x:c r="Y89" s="26" t="n">
        <x:f>IF(OR(Z89="No",W89=""),"",IFERROR(V89/W89,0))</x:f>
        <x:v>5.728507043673295</x:v>
      </x:c>
      <x:c r="Z89" s="27" t="str">
        <x:f>IF(AND(U89=TRUE,V89=0),"No","Yes")</x:f>
        <x:v>Yes</x:v>
      </x:c>
      <x:c r="AA89" s="27" t="str">
        <x:f>IF(Z89="No","Not comparable",IF(X89="","Unknown cost",IF(X89&gt;0,"Yes","No")))</x:f>
        <x:v>Yes</x:v>
      </x:c>
      <x:c r="AB89" s="20" t="str">
        <x:v>13.227Mn</x:v>
      </x:c>
    </x:row>
    <x:row r="90">
      <x:c r="A90" s="20" t="str">
        <x:v>medium-alien-encounter-452-pve-1star</x:v>
      </x:c>
      <x:c r="B90" s="21" t="d">
        <x:v>2026-10-01T00:00:00.000Z</x:v>
      </x:c>
      <x:c r="C90" s="22" t="n">
        <x:v>50</x:v>
      </x:c>
      <x:c r="D90" s="20" t="str">
        <x:v>PTS scan card</x:v>
      </x:c>
      <x:c r="E90" s="20" t="str">
        <x:v>Medium Alien Encounter</x:v>
      </x:c>
      <x:c r="F90" s="20" t="str">
        <x:v>PvE</x:v>
      </x:c>
      <x:c r="G90" s="23" t="n">
        <x:v>1</x:v>
      </x:c>
      <x:c r="H90" s="23" t="n">
        <x:v>452</x:v>
      </x:c>
      <x:c r="I90" s="23" t="str">
        <x:v>Combat</x:v>
      </x:c>
      <x:c r="J90" s="23" t="n">
        <x:v>2</x:v>
      </x:c>
      <x:c r="K90" s="23" t="n">
        <x:v>47</x:v>
      </x:c>
      <x:c r="L90" s="23" t="n">
        <x:v>4220</x:v>
      </x:c>
      <x:c r="M90" s="20" t="str">
        <x:v>possible</x:v>
      </x:c>
      <x:c r="N90" s="23" t="n">
        <x:v>2834850</x:v>
      </x:c>
      <x:c r="O90" s="23" t="n">
        <x:v>1262008</x:v>
      </x:c>
      <x:c r="P90" s="23" t="n">
        <x:v>2670762</x:v>
      </x:c>
      <x:c r="Q90" s="23" t="n">
        <x:v>0</x:v>
      </x:c>
      <x:c r="R90" s="24" t="b">
        <x:v>1</x:v>
      </x:c>
      <x:c r="S90" s="23" t="n">
        <x:v>1827000</x:v>
      </x:c>
      <x:c r="T90" s="24" t="b">
        <x:v>1</x:v>
      </x:c>
      <x:c r="U90" s="24" t="b">
        <x:v>0</x:v>
      </x:c>
      <x:c r="V90" s="25" t="n">
        <x:f>N90+1.5*O90+3*P90+3*Q90</x:f>
        <x:v>12740148</x:v>
      </x:c>
      <x:c r="W90" s="25" t="n">
        <x:f>IF(S90="","",S90*3)</x:f>
        <x:v>5481000</x:v>
      </x:c>
      <x:c r="X90" s="25" t="n">
        <x:f>IF(OR(Z90="No",W90=""),"",V90-W90)</x:f>
        <x:v>7259148</x:v>
      </x:c>
      <x:c r="Y90" s="26" t="n">
        <x:f>IF(OR(Z90="No",W90=""),"",IFERROR(V90/W90,0))</x:f>
        <x:v>2.3244203612479475</x:v>
      </x:c>
      <x:c r="Z90" s="27" t="str">
        <x:f>IF(AND(U90=TRUE,V90=0),"No","Yes")</x:f>
        <x:v>Yes</x:v>
      </x:c>
      <x:c r="AA90" s="27" t="str">
        <x:f>IF(Z90="No","Not comparable",IF(X90="","Unknown cost",IF(X90&gt;0,"Yes","No")))</x:f>
        <x:v>Yes</x:v>
      </x:c>
      <x:c r="AB90" s="20" t="str">
        <x:v>1.827Mn</x:v>
      </x:c>
    </x:row>
    <x:row r="91">
      <x:c r="A91" s="20" t="str">
        <x:v>mysterious-nebula-411-pve-3star</x:v>
      </x:c>
      <x:c r="B91" s="21" t="d">
        <x:v>2026-10-01T00:00:00.000Z</x:v>
      </x:c>
      <x:c r="C91" s="22" t="n">
        <x:v>150</x:v>
      </x:c>
      <x:c r="D91" s="20" t="str">
        <x:v>PTS scan card</x:v>
      </x:c>
      <x:c r="E91" s="20" t="str">
        <x:v>Mysterious Nebula</x:v>
      </x:c>
      <x:c r="F91" s="20" t="str">
        <x:v>PvE</x:v>
      </x:c>
      <x:c r="G91" s="23" t="n">
        <x:v>3</x:v>
      </x:c>
      <x:c r="H91" s="23" t="n">
        <x:v>411</x:v>
      </x:c>
      <x:c r="I91" s="23" t="str">
        <x:v>Delivery</x:v>
      </x:c>
      <x:c r="J91" s="23" t="n">
        <x:v>1</x:v>
      </x:c>
      <x:c r="K91" s="23" t="n">
        <x:v>37</x:v>
      </x:c>
      <x:c r="L91" s="23" t="n">
        <x:v>12390</x:v>
      </x:c>
      <x:c r="M91" s="20" t="str">
        <x:v>possible</x:v>
      </x:c>
      <x:c r="N91" s="23" t="n">
        <x:v>0</x:v>
      </x:c>
      <x:c r="O91" s="23" t="n">
        <x:v>0</x:v>
      </x:c>
      <x:c r="P91" s="23" t="n">
        <x:v>0</x:v>
      </x:c>
      <x:c r="Q91" s="23" t="n">
        <x:v>0</x:v>
      </x:c>
      <x:c r="R91" s="24" t="b">
        <x:v>1</x:v>
      </x:c>
      <x:c r="S91" s="23" t="n">
        <x:v>2492000</x:v>
      </x:c>
      <x:c r="T91" s="24" t="b">
        <x:v>1</x:v>
      </x:c>
      <x:c r="U91" s="24" t="b">
        <x:v>1</x:v>
      </x:c>
      <x:c r="V91" s="25" t="n">
        <x:f>N91+1.5*O91+3*P91+3*Q91</x:f>
        <x:v>0</x:v>
      </x:c>
      <x:c r="W91" s="25" t="n">
        <x:f>IF(S91="","",S91*3)</x:f>
        <x:v>7476000</x:v>
      </x:c>
      <x:c r="X91" s="25" t="str">
        <x:f>IF(OR(Z91="No",W91=""),"",V91-W91)</x:f>
      </x:c>
      <x:c r="Y91" s="26" t="str">
        <x:f>IF(OR(Z91="No",W91=""),"",IFERROR(V91/W91,0))</x:f>
      </x:c>
      <x:c r="Z91" s="27" t="str">
        <x:f>IF(AND(U91=TRUE,V91=0),"No","Yes")</x:f>
        <x:v>No</x:v>
      </x:c>
      <x:c r="AA91" s="27" t="str">
        <x:f>IF(Z91="No","Not comparable",IF(X91="","Unknown cost",IF(X91&gt;0,"Yes","No")))</x:f>
        <x:v>Not comparable</x:v>
      </x:c>
      <x:c r="AB91" s="20" t="str">
        <x:v>2.492Mn</x:v>
      </x:c>
    </x:row>
    <x:row r="92">
      <x:c r="A92" s="20" t="str">
        <x:v>small-alien-encounter-506-pvp-3star</x:v>
      </x:c>
      <x:c r="B92" s="21" t="d">
        <x:v>2026-10-01T00:00:00.000Z</x:v>
      </x:c>
      <x:c r="C92" s="22" t="n">
        <x:v>150</x:v>
      </x:c>
      <x:c r="D92" s="20" t="str">
        <x:v>PTS scan card</x:v>
      </x:c>
      <x:c r="E92" s="20" t="str">
        <x:v>Small Alien Encounter</x:v>
      </x:c>
      <x:c r="F92" s="20" t="str">
        <x:v>PvP</x:v>
      </x:c>
      <x:c r="G92" s="23" t="n">
        <x:v>3</x:v>
      </x:c>
      <x:c r="H92" s="23" t="n">
        <x:v>506</x:v>
      </x:c>
      <x:c r="I92" s="23" t="str">
        <x:v>Combat</x:v>
      </x:c>
      <x:c r="J92" s="23" t="n">
        <x:v>1</x:v>
      </x:c>
      <x:c r="K92" s="23" t="n">
        <x:v>30</x:v>
      </x:c>
      <x:c r="L92" s="23" t="n">
        <x:v>4410</x:v>
      </x:c>
      <x:c r="M92" s="20" t="str">
        <x:v>possible</x:v>
      </x:c>
      <x:c r="N92" s="23" t="n">
        <x:v>0</x:v>
      </x:c>
      <x:c r="O92" s="23" t="n">
        <x:v>0</x:v>
      </x:c>
      <x:c r="P92" s="23" t="n">
        <x:v>18567948</x:v>
      </x:c>
      <x:c r="Q92" s="23" t="n">
        <x:v>0</x:v>
      </x:c>
      <x:c r="R92" s="24" t="b">
        <x:v>1</x:v>
      </x:c>
      <x:c r="S92" s="23" t="n">
        <x:v>3068000</x:v>
      </x:c>
      <x:c r="T92" s="24" t="b">
        <x:v>1</x:v>
      </x:c>
      <x:c r="U92" s="24" t="b">
        <x:v>0</x:v>
      </x:c>
      <x:c r="V92" s="25" t="n">
        <x:f>N92+1.5*O92+3*P92+3*Q92</x:f>
        <x:v>55703844</x:v>
      </x:c>
      <x:c r="W92" s="25" t="n">
        <x:f>IF(S92="","",S92*3)</x:f>
        <x:v>9204000</x:v>
      </x:c>
      <x:c r="X92" s="25" t="n">
        <x:f>IF(OR(Z92="No",W92=""),"",V92-W92)</x:f>
        <x:v>46499844</x:v>
      </x:c>
      <x:c r="Y92" s="26" t="n">
        <x:f>IF(OR(Z92="No",W92=""),"",IFERROR(V92/W92,0))</x:f>
        <x:v>6.052134289439374</x:v>
      </x:c>
      <x:c r="Z92" s="27" t="str">
        <x:f>IF(AND(U92=TRUE,V92=0),"No","Yes")</x:f>
        <x:v>Yes</x:v>
      </x:c>
      <x:c r="AA92" s="27" t="str">
        <x:f>IF(Z92="No","Not comparable",IF(X92="","Unknown cost",IF(X92&gt;0,"Yes","No")))</x:f>
        <x:v>Yes</x:v>
      </x:c>
      <x:c r="AB92" s="20" t="str">
        <x:v>3.068Mn</x:v>
      </x:c>
    </x:row>
    <x:row r="93">
      <x:c r="A93" s="20" t="str">
        <x:v>medium-pirate-encounter-409-pve-4star</x:v>
      </x:c>
      <x:c r="B93" s="21" t="d">
        <x:v>2026-10-01T00:00:00.000Z</x:v>
      </x:c>
      <x:c r="C93" s="22" t="n">
        <x:v>150</x:v>
      </x:c>
      <x:c r="D93" s="20" t="str">
        <x:v>PTS scan card</x:v>
      </x:c>
      <x:c r="E93" s="20" t="str">
        <x:v>Medium Pirate Encounter</x:v>
      </x:c>
      <x:c r="F93" s="20" t="str">
        <x:v>PvE</x:v>
      </x:c>
      <x:c r="G93" s="23" t="n">
        <x:v>4</x:v>
      </x:c>
      <x:c r="H93" s="23" t="n">
        <x:v>409</x:v>
      </x:c>
      <x:c r="I93" s="23" t="str">
        <x:v>Combat</x:v>
      </x:c>
      <x:c r="J93" s="23" t="n">
        <x:v>3</x:v>
      </x:c>
      <x:c r="K93" s="23" t="n">
        <x:v>92</x:v>
      </x:c>
      <x:c r="L93" s="23" t="n">
        <x:v>10490</x:v>
      </x:c>
      <x:c r="M93" s="20" t="str">
        <x:v>possible</x:v>
      </x:c>
      <x:c r="N93" s="23" t="n">
        <x:v>22524861</x:v>
      </x:c>
      <x:c r="O93" s="23" t="n">
        <x:v>0</x:v>
      </x:c>
      <x:c r="P93" s="23" t="n">
        <x:v>9098277</x:v>
      </x:c>
      <x:c r="Q93" s="23" t="n">
        <x:v>0</x:v>
      </x:c>
      <x:c r="R93" s="24" t="b">
        <x:v>1</x:v>
      </x:c>
      <x:c r="S93" s="23" t="n">
        <x:v>9920000</x:v>
      </x:c>
      <x:c r="T93" s="24" t="b">
        <x:v>1</x:v>
      </x:c>
      <x:c r="U93" s="24" t="b">
        <x:v>1</x:v>
      </x:c>
      <x:c r="V93" s="25" t="n">
        <x:f>N93+1.5*O93+3*P93+3*Q93</x:f>
        <x:v>49819692</x:v>
      </x:c>
      <x:c r="W93" s="25" t="n">
        <x:f>IF(S93="","",S93*3)</x:f>
        <x:v>29760000</x:v>
      </x:c>
      <x:c r="X93" s="25" t="n">
        <x:f>IF(OR(Z93="No",W93=""),"",V93-W93)</x:f>
        <x:v>20059692</x:v>
      </x:c>
      <x:c r="Y93" s="26" t="n">
        <x:f>IF(OR(Z93="No",W93=""),"",IFERROR(V93/W93,0))</x:f>
        <x:v>1.6740487903225807</x:v>
      </x:c>
      <x:c r="Z93" s="27" t="str">
        <x:f>IF(AND(U93=TRUE,V93=0),"No","Yes")</x:f>
        <x:v>Yes</x:v>
      </x:c>
      <x:c r="AA93" s="27" t="str">
        <x:f>IF(Z93="No","Not comparable",IF(X93="","Unknown cost",IF(X93&gt;0,"Yes","No")))</x:f>
        <x:v>Yes</x:v>
      </x:c>
      <x:c r="AB93" s="20" t="str">
        <x:v>9.92Mn</x:v>
      </x:c>
    </x:row>
    <x:row r="94">
      <x:c r="A94" s="20" t="str">
        <x:v>rescue-413-pve-1star</x:v>
      </x:c>
      <x:c r="B94" s="21" t="d">
        <x:v>2026-10-01T00:00:00.000Z</x:v>
      </x:c>
      <x:c r="C94" s="22" t="n">
        <x:v>150</x:v>
      </x:c>
      <x:c r="D94" s="20" t="str">
        <x:v>PTS scan card</x:v>
      </x:c>
      <x:c r="E94" s="20" t="str">
        <x:v>Rescue</x:v>
      </x:c>
      <x:c r="F94" s="20" t="str">
        <x:v>PvE</x:v>
      </x:c>
      <x:c r="G94" s="23" t="n">
        <x:v>1</x:v>
      </x:c>
      <x:c r="H94" s="23" t="n">
        <x:v>413</x:v>
      </x:c>
      <x:c r="I94" s="23" t="str">
        <x:v>Combat</x:v>
      </x:c>
      <x:c r="J94" s="23" t="n">
        <x:v>4</x:v>
      </x:c>
      <x:c r="K94" s="23" t="n">
        <x:v>119</x:v>
      </x:c>
      <x:c r="L94" s="23" t="n">
        <x:v>6025</x:v>
      </x:c>
      <x:c r="M94" s="20" t="str">
        <x:v>possible</x:v>
      </x:c>
      <x:c r="N94" s="23" t="n">
        <x:v>3103702</x:v>
      </x:c>
      <x:c r="O94" s="23" t="n">
        <x:v>1381695</x:v>
      </x:c>
      <x:c r="P94" s="23" t="n">
        <x:v>426241</x:v>
      </x:c>
      <x:c r="Q94" s="23" t="n">
        <x:v>0</x:v>
      </x:c>
      <x:c r="R94" s="24" t="b">
        <x:v>1</x:v>
      </x:c>
      <x:c r="S94" s="23" t="n">
        <x:v>3339000</x:v>
      </x:c>
      <x:c r="T94" s="24" t="b">
        <x:v>1</x:v>
      </x:c>
      <x:c r="U94" s="24" t="b">
        <x:v>1</x:v>
      </x:c>
      <x:c r="V94" s="25" t="n">
        <x:f>N94+1.5*O94+3*P94+3*Q94</x:f>
        <x:v>6454967.5</x:v>
      </x:c>
      <x:c r="W94" s="25" t="n">
        <x:f>IF(S94="","",S94*3)</x:f>
        <x:v>10017000</x:v>
      </x:c>
      <x:c r="X94" s="25" t="n">
        <x:f>IF(OR(Z94="No",W94=""),"",V94-W94)</x:f>
        <x:v>-3562032.5</x:v>
      </x:c>
      <x:c r="Y94" s="26" t="n">
        <x:f>IF(OR(Z94="No",W94=""),"",IFERROR(V94/W94,0))</x:f>
        <x:v>0.6444012678446641</x:v>
      </x:c>
      <x:c r="Z94" s="27" t="str">
        <x:f>IF(AND(U94=TRUE,V94=0),"No","Yes")</x:f>
        <x:v>Yes</x:v>
      </x:c>
      <x:c r="AA94" s="27" t="str">
        <x:f>IF(Z94="No","Not comparable",IF(X94="","Unknown cost",IF(X94&gt;0,"Yes","No")))</x:f>
        <x:v>No</x:v>
      </x:c>
      <x:c r="AB94" s="20" t="str">
        <x:v>3.339Mn</x:v>
      </x:c>
    </x:row>
    <x:row r="95">
      <x:c r="A95" s="20" t="str">
        <x:v>s10-20261002-01</x:v>
      </x:c>
      <x:c r="B95" s="21" t="d">
        <x:v>2026-10-02T00:00:00.000Z</x:v>
      </x:c>
      <x:c r="C95" s="22" t="n">
        <x:v>10</x:v>
      </x:c>
      <x:c r="D95" s="20" t="str">
        <x:v>PTS scan card</x:v>
      </x:c>
      <x:c r="E95" s="20" t="str">
        <x:v>Delivery: Metal</x:v>
      </x:c>
      <x:c r="F95" s="20" t="str">
        <x:v>PvP</x:v>
      </x:c>
      <x:c r="G95" s="23" t="n">
        <x:v>5</x:v>
      </x:c>
      <x:c r="H95" s="23" t="n">
        <x:v>566</x:v>
      </x:c>
      <x:c r="I95" s="23" t="str">
        <x:v>Delivery</x:v>
      </x:c>
      <x:c r="J95" s="23" t="n">
        <x:v>4</x:v>
      </x:c>
      <x:c r="K95" s="23" t="n">
        <x:v>87</x:v>
      </x:c>
      <x:c r="L95" s="23" t="n">
        <x:v>3555</x:v>
      </x:c>
      <x:c r="M95" s="20" t="str">
        <x:v>possible</x:v>
      </x:c>
      <x:c r="N95" s="23" t="n">
        <x:v>363442884</x:v>
      </x:c>
      <x:c r="O95" s="23" t="n">
        <x:v>0</x:v>
      </x:c>
      <x:c r="P95" s="23" t="n">
        <x:v>0</x:v>
      </x:c>
      <x:c r="Q95" s="23" t="n">
        <x:v>0</x:v>
      </x:c>
      <x:c r="R95" s="24" t="b">
        <x:v>1</x:v>
      </x:c>
      <x:c r="S95" s="23" t="n">
        <x:v>21443000</x:v>
      </x:c>
      <x:c r="T95" s="24" t="b">
        <x:v>1</x:v>
      </x:c>
      <x:c r="U95" s="24" t="b">
        <x:v>1</x:v>
      </x:c>
      <x:c r="V95" s="25" t="n">
        <x:f>N95+1.5*O95+3*P95+3*Q95</x:f>
        <x:v>363442884</x:v>
      </x:c>
      <x:c r="W95" s="25" t="n">
        <x:f>IF(S95="","",S95*3)</x:f>
        <x:v>64329000</x:v>
      </x:c>
      <x:c r="X95" s="25" t="n">
        <x:f>IF(OR(Z95="No",W95=""),"",V95-W95)</x:f>
        <x:v>299113884</x:v>
      </x:c>
      <x:c r="Y95" s="26" t="n">
        <x:f>IF(OR(Z95="No",W95=""),"",IFERROR(V95/W95,0))</x:f>
        <x:v>5.649751807116542</x:v>
      </x:c>
      <x:c r="Z95" s="27" t="str">
        <x:f>IF(AND(U95=TRUE,V95=0),"No","Yes")</x:f>
        <x:v>Yes</x:v>
      </x:c>
      <x:c r="AA95" s="27" t="str">
        <x:f>IF(Z95="No","Not comparable",IF(X95="","Unknown cost",IF(X95&gt;0,"Yes","No")))</x:f>
        <x:v>Yes</x:v>
      </x:c>
      <x:c r="AB95" s="20" t="str">
        <x:v>21.443M</x:v>
      </x:c>
    </x:row>
    <x:row r="96">
      <x:c r="A96" s="20" t="str">
        <x:v>s10-20261002-02</x:v>
      </x:c>
      <x:c r="B96" s="21" t="d">
        <x:v>2026-10-02T00:00:00.000Z</x:v>
      </x:c>
      <x:c r="C96" s="22" t="n">
        <x:v>10</x:v>
      </x:c>
      <x:c r="D96" s="20" t="str">
        <x:v>PTS scan card</x:v>
      </x:c>
      <x:c r="E96" s="20" t="str">
        <x:v>Small Alien Encounter</x:v>
      </x:c>
      <x:c r="F96" s="20" t="str">
        <x:v>PvP</x:v>
      </x:c>
      <x:c r="G96" s="23" t="n">
        <x:v>5</x:v>
      </x:c>
      <x:c r="H96" s="23" t="n">
        <x:v>594</x:v>
      </x:c>
      <x:c r="I96" s="23" t="str">
        <x:v>Combat</x:v>
      </x:c>
      <x:c r="J96" s="23" t="n">
        <x:v>3</x:v>
      </x:c>
      <x:c r="K96" s="23" t="n">
        <x:v>53</x:v>
      </x:c>
      <x:c r="L96" s="23" t="n">
        <x:v>3270</x:v>
      </x:c>
      <x:c r="M96" s="20" t="str">
        <x:v>possible</x:v>
      </x:c>
      <x:c r="N96" s="23" t="n">
        <x:v>0</x:v>
      </x:c>
      <x:c r="O96" s="23" t="n">
        <x:v>116561398</x:v>
      </x:c>
      <x:c r="P96" s="23" t="n">
        <x:v>0</x:v>
      </x:c>
      <x:c r="Q96" s="23" t="n">
        <x:v>0</x:v>
      </x:c>
      <x:c r="R96" s="24" t="b">
        <x:v>1</x:v>
      </x:c>
      <x:c r="S96" s="23" t="n">
        <x:v>16878000</x:v>
      </x:c>
      <x:c r="T96" s="24" t="b">
        <x:v>1</x:v>
      </x:c>
      <x:c r="U96" s="24" t="b">
        <x:v>1</x:v>
      </x:c>
      <x:c r="V96" s="25" t="n">
        <x:f>N96+1.5*O96+3*P96+3*Q96</x:f>
        <x:v>174842097</x:v>
      </x:c>
      <x:c r="W96" s="25" t="n">
        <x:f>IF(S96="","",S96*3)</x:f>
        <x:v>50634000</x:v>
      </x:c>
      <x:c r="X96" s="25" t="n">
        <x:f>IF(OR(Z96="No",W96=""),"",V96-W96)</x:f>
        <x:v>124208097</x:v>
      </x:c>
      <x:c r="Y96" s="26" t="n">
        <x:f>IF(OR(Z96="No",W96=""),"",IFERROR(V96/W96,0))</x:f>
        <x:v>3.453057175020737</x:v>
      </x:c>
      <x:c r="Z96" s="27" t="str">
        <x:f>IF(AND(U96=TRUE,V96=0),"No","Yes")</x:f>
        <x:v>Yes</x:v>
      </x:c>
      <x:c r="AA96" s="27" t="str">
        <x:f>IF(Z96="No","Not comparable",IF(X96="","Unknown cost",IF(X96&gt;0,"Yes","No")))</x:f>
        <x:v>Yes</x:v>
      </x:c>
      <x:c r="AB96" s="20" t="str">
        <x:v>16.878M</x:v>
      </x:c>
    </x:row>
    <x:row r="97">
      <x:c r="A97" s="20" t="str">
        <x:v>s10-20261002-03</x:v>
      </x:c>
      <x:c r="B97" s="21" t="d">
        <x:v>2026-10-02T00:00:00.000Z</x:v>
      </x:c>
      <x:c r="C97" s="22" t="n">
        <x:v>10</x:v>
      </x:c>
      <x:c r="D97" s="20" t="str">
        <x:v>PTS scan card</x:v>
      </x:c>
      <x:c r="E97" s="20" t="str">
        <x:v>Rescue</x:v>
      </x:c>
      <x:c r="F97" s="20" t="str">
        <x:v>PvP</x:v>
      </x:c>
      <x:c r="G97" s="23" t="n">
        <x:v>2</x:v>
      </x:c>
      <x:c r="H97" s="23" t="n">
        <x:v>732</x:v>
      </x:c>
      <x:c r="I97" s="23" t="str">
        <x:v>Combat</x:v>
      </x:c>
      <x:c r="J97" s="23" t="n">
        <x:v>2</x:v>
      </x:c>
      <x:c r="K97" s="23" t="n">
        <x:v>34</x:v>
      </x:c>
      <x:c r="L97" s="23" t="n">
        <x:v>3270</x:v>
      </x:c>
      <x:c r="M97" s="20" t="str">
        <x:v>possible</x:v>
      </x:c>
      <x:c r="N97" s="23" t="n">
        <x:v>0</x:v>
      </x:c>
      <x:c r="O97" s="23" t="n">
        <x:v>0</x:v>
      </x:c>
      <x:c r="P97" s="23" t="n">
        <x:v>0</x:v>
      </x:c>
      <x:c r="Q97" s="23" t="n">
        <x:v>0</x:v>
      </x:c>
      <x:c r="R97" s="24" t="b">
        <x:v>1</x:v>
      </x:c>
      <x:c r="S97" s="23" t="n">
        <x:v>5546000</x:v>
      </x:c>
      <x:c r="T97" s="24" t="b">
        <x:v>1</x:v>
      </x:c>
      <x:c r="U97" s="24" t="b">
        <x:v>1</x:v>
      </x:c>
      <x:c r="V97" s="25" t="n">
        <x:f>N97+1.5*O97+3*P97+3*Q97</x:f>
        <x:v>0</x:v>
      </x:c>
      <x:c r="W97" s="25" t="n">
        <x:f>IF(S97="","",S97*3)</x:f>
        <x:v>16638000</x:v>
      </x:c>
      <x:c r="X97" s="25" t="str">
        <x:f>IF(OR(Z97="No",W97=""),"",V97-W97)</x:f>
      </x:c>
      <x:c r="Y97" s="26" t="str">
        <x:f>IF(OR(Z97="No",W97=""),"",IFERROR(V97/W97,0))</x:f>
      </x:c>
      <x:c r="Z97" s="27" t="str">
        <x:f>IF(AND(U97=TRUE,V97=0),"No","Yes")</x:f>
        <x:v>No</x:v>
      </x:c>
      <x:c r="AA97" s="27" t="str">
        <x:f>IF(Z97="No","Not comparable",IF(X97="","Unknown cost",IF(X97&gt;0,"Yes","No")))</x:f>
        <x:v>Not comparable</x:v>
      </x:c>
      <x:c r="AB97" s="20" t="str">
        <x:v>5.546M</x:v>
      </x:c>
    </x:row>
    <x:row r="98">
      <x:c r="A98" s="20" t="str">
        <x:v>s10-20261002-04</x:v>
      </x:c>
      <x:c r="B98" s="21" t="d">
        <x:v>2026-10-02T00:00:00.000Z</x:v>
      </x:c>
      <x:c r="C98" s="22" t="n">
        <x:v>10</x:v>
      </x:c>
      <x:c r="D98" s="20" t="str">
        <x:v>PTS scan card</x:v>
      </x:c>
      <x:c r="E98" s="20" t="str">
        <x:v>Delivery: Metal</x:v>
      </x:c>
      <x:c r="F98" s="20" t="str">
        <x:v>PvP</x:v>
      </x:c>
      <x:c r="G98" s="23" t="n">
        <x:v>5</x:v>
      </x:c>
      <x:c r="H98" s="23" t="n">
        <x:v>543</x:v>
      </x:c>
      <x:c r="I98" s="23" t="str">
        <x:v>Delivery</x:v>
      </x:c>
      <x:c r="J98" s="23" t="n">
        <x:v>4</x:v>
      </x:c>
      <x:c r="K98" s="23" t="n">
        <x:v>91</x:v>
      </x:c>
      <x:c r="L98" s="23" t="n">
        <x:v>2985</x:v>
      </x:c>
      <x:c r="M98" s="20" t="str">
        <x:v>possible</x:v>
      </x:c>
      <x:c r="N98" s="23" t="n">
        <x:v>348673992</x:v>
      </x:c>
      <x:c r="O98" s="23" t="n">
        <x:v>0</x:v>
      </x:c>
      <x:c r="P98" s="23" t="n">
        <x:v>0</x:v>
      </x:c>
      <x:c r="Q98" s="23" t="n">
        <x:v>0</x:v>
      </x:c>
      <x:c r="R98" s="24" t="b">
        <x:v>1</x:v>
      </x:c>
      <x:c r="S98" s="23" t="n">
        <x:v>20571000</x:v>
      </x:c>
      <x:c r="T98" s="24" t="b">
        <x:v>1</x:v>
      </x:c>
      <x:c r="U98" s="24" t="b">
        <x:v>1</x:v>
      </x:c>
      <x:c r="V98" s="25" t="n">
        <x:f>N98+1.5*O98+3*P98+3*Q98</x:f>
        <x:v>348673992</x:v>
      </x:c>
      <x:c r="W98" s="25" t="n">
        <x:f>IF(S98="","",S98*3)</x:f>
        <x:v>61713000</x:v>
      </x:c>
      <x:c r="X98" s="25" t="n">
        <x:f>IF(OR(Z98="No",W98=""),"",V98-W98)</x:f>
        <x:v>286960992</x:v>
      </x:c>
      <x:c r="Y98" s="26" t="n">
        <x:f>IF(OR(Z98="No",W98=""),"",IFERROR(V98/W98,0))</x:f>
        <x:v>5.649927762383938</x:v>
      </x:c>
      <x:c r="Z98" s="27" t="str">
        <x:f>IF(AND(U98=TRUE,V98=0),"No","Yes")</x:f>
        <x:v>Yes</x:v>
      </x:c>
      <x:c r="AA98" s="27" t="str">
        <x:f>IF(Z98="No","Not comparable",IF(X98="","Unknown cost",IF(X98&gt;0,"Yes","No")))</x:f>
        <x:v>Yes</x:v>
      </x:c>
      <x:c r="AB98" s="20" t="str">
        <x:v>20.571M</x:v>
      </x:c>
    </x:row>
    <x:row r="99">
      <x:c r="A99" s="20" t="str">
        <x:v>s10-20261002-05</x:v>
      </x:c>
      <x:c r="B99" s="21" t="d">
        <x:v>2026-10-02T00:00:00.000Z</x:v>
      </x:c>
      <x:c r="C99" s="22" t="n">
        <x:v>10</x:v>
      </x:c>
      <x:c r="D99" s="20" t="str">
        <x:v>PTS scan card</x:v>
      </x:c>
      <x:c r="E99" s="20" t="str">
        <x:v>Medium Pirate Encounter</x:v>
      </x:c>
      <x:c r="F99" s="20" t="str">
        <x:v>PvE</x:v>
      </x:c>
      <x:c r="G99" s="23" t="n">
        <x:v>3</x:v>
      </x:c>
      <x:c r="H99" s="23" t="n">
        <x:v>602</x:v>
      </x:c>
      <x:c r="I99" s="23" t="str">
        <x:v>Combat</x:v>
      </x:c>
      <x:c r="J99" s="23" t="n">
        <x:v>2</x:v>
      </x:c>
      <x:c r="K99" s="23" t="n">
        <x:v>37</x:v>
      </x:c>
      <x:c r="L99" s="23" t="n">
        <x:v>2985</x:v>
      </x:c>
      <x:c r="M99" s="20" t="str">
        <x:v>possible</x:v>
      </x:c>
      <x:c r="N99" s="23" t="n">
        <x:v>0</x:v>
      </x:c>
      <x:c r="O99" s="23" t="n">
        <x:v>0</x:v>
      </x:c>
      <x:c r="P99" s="23" t="n">
        <x:v>9907346</x:v>
      </x:c>
      <x:c r="Q99" s="23" t="n">
        <x:v>0</x:v>
      </x:c>
      <x:c r="R99" s="24" t="b">
        <x:v>1</x:v>
      </x:c>
      <x:c r="S99" s="23" t="n">
        <x:v>6842000</x:v>
      </x:c>
      <x:c r="T99" s="24" t="b">
        <x:v>1</x:v>
      </x:c>
      <x:c r="U99" s="24" t="b">
        <x:v>1</x:v>
      </x:c>
      <x:c r="V99" s="25" t="n">
        <x:f>N99+1.5*O99+3*P99+3*Q99</x:f>
        <x:v>29722038</x:v>
      </x:c>
      <x:c r="W99" s="25" t="n">
        <x:f>IF(S99="","",S99*3)</x:f>
        <x:v>20526000</x:v>
      </x:c>
      <x:c r="X99" s="25" t="n">
        <x:f>IF(OR(Z99="No",W99=""),"",V99-W99)</x:f>
        <x:v>9196038</x:v>
      </x:c>
      <x:c r="Y99" s="26" t="n">
        <x:f>IF(OR(Z99="No",W99=""),"",IFERROR(V99/W99,0))</x:f>
        <x:v>1.4480190002923121</x:v>
      </x:c>
      <x:c r="Z99" s="27" t="str">
        <x:f>IF(AND(U99=TRUE,V99=0),"No","Yes")</x:f>
        <x:v>Yes</x:v>
      </x:c>
      <x:c r="AA99" s="27" t="str">
        <x:f>IF(Z99="No","Not comparable",IF(X99="","Unknown cost",IF(X99&gt;0,"Yes","No")))</x:f>
        <x:v>Yes</x:v>
      </x:c>
      <x:c r="AB99" s="20" t="str">
        <x:v>6.842M</x:v>
      </x:c>
    </x:row>
    <x:row r="100">
      <x:c r="A100" s="20" t="str">
        <x:v>s10-20261002-06</x:v>
      </x:c>
      <x:c r="B100" s="21" t="d">
        <x:v>2026-10-02T00:00:00.000Z</x:v>
      </x:c>
      <x:c r="C100" s="22" t="n">
        <x:v>10</x:v>
      </x:c>
      <x:c r="D100" s="20" t="str">
        <x:v>PTS scan card</x:v>
      </x:c>
      <x:c r="E100" s="20" t="str">
        <x:v>Small Alien Encounter</x:v>
      </x:c>
      <x:c r="F100" s="20" t="str">
        <x:v>PvP</x:v>
      </x:c>
      <x:c r="G100" s="23" t="n">
        <x:v>5</x:v>
      </x:c>
      <x:c r="H100" s="23" t="n">
        <x:v>668</x:v>
      </x:c>
      <x:c r="I100" s="23" t="str">
        <x:v>Combat</x:v>
      </x:c>
      <x:c r="J100" s="23" t="n">
        <x:v>5</x:v>
      </x:c>
      <x:c r="K100" s="23" t="n">
        <x:v>91</x:v>
      </x:c>
      <x:c r="L100" s="23" t="n">
        <x:v>3080</x:v>
      </x:c>
      <x:c r="M100" s="20" t="str">
        <x:v>possible</x:v>
      </x:c>
      <x:c r="N100" s="23" t="n">
        <x:v>161310632</x:v>
      </x:c>
      <x:c r="O100" s="23" t="n">
        <x:v>54411605</x:v>
      </x:c>
      <x:c r="P100" s="23" t="n">
        <x:v>0</x:v>
      </x:c>
      <x:c r="Q100" s="23" t="n">
        <x:v>0</x:v>
      </x:c>
      <x:c r="R100" s="24" t="b">
        <x:v>1</x:v>
      </x:c>
      <x:c r="S100" s="23" t="n">
        <x:v>25307000</x:v>
      </x:c>
      <x:c r="T100" s="24" t="b">
        <x:v>1</x:v>
      </x:c>
      <x:c r="U100" s="24" t="b">
        <x:v>1</x:v>
      </x:c>
      <x:c r="V100" s="25" t="n">
        <x:f>N100+1.5*O100+3*P100+3*Q100</x:f>
        <x:v>242928039.5</x:v>
      </x:c>
      <x:c r="W100" s="25" t="n">
        <x:f>IF(S100="","",S100*3)</x:f>
        <x:v>75921000</x:v>
      </x:c>
      <x:c r="X100" s="25" t="n">
        <x:f>IF(OR(Z100="No",W100=""),"",V100-W100)</x:f>
        <x:v>167007039.5</x:v>
      </x:c>
      <x:c r="Y100" s="26" t="n">
        <x:f>IF(OR(Z100="No",W100=""),"",IFERROR(V100/W100,0))</x:f>
        <x:v>3.1997476258215776</x:v>
      </x:c>
      <x:c r="Z100" s="27" t="str">
        <x:f>IF(AND(U100=TRUE,V100=0),"No","Yes")</x:f>
        <x:v>Yes</x:v>
      </x:c>
      <x:c r="AA100" s="27" t="str">
        <x:f>IF(Z100="No","Not comparable",IF(X100="","Unknown cost",IF(X100&gt;0,"Yes","No")))</x:f>
        <x:v>Yes</x:v>
      </x:c>
      <x:c r="AB100" s="20" t="str">
        <x:v>25.307M</x:v>
      </x:c>
    </x:row>
    <x:row r="101">
      <x:c r="A101" s="20" t="str">
        <x:v>s10-20261002-07</x:v>
      </x:c>
      <x:c r="B101" s="21" t="d">
        <x:v>2026-10-02T00:00:00.000Z</x:v>
      </x:c>
      <x:c r="C101" s="22" t="n">
        <x:v>10</x:v>
      </x:c>
      <x:c r="D101" s="20" t="str">
        <x:v>PTS scan card</x:v>
      </x:c>
      <x:c r="E101" s="20" t="str">
        <x:v>Small Alien Encounter</x:v>
      </x:c>
      <x:c r="F101" s="20" t="str">
        <x:v>PvE</x:v>
      </x:c>
      <x:c r="G101" s="23" t="n">
        <x:v>3</x:v>
      </x:c>
      <x:c r="H101" s="23" t="n">
        <x:v>599</x:v>
      </x:c>
      <x:c r="I101" s="23" t="str">
        <x:v>Combat</x:v>
      </x:c>
      <x:c r="J101" s="23" t="n">
        <x:v>2</x:v>
      </x:c>
      <x:c r="K101" s="23" t="n">
        <x:v>37</x:v>
      </x:c>
      <x:c r="L101" s="23" t="n">
        <x:v>3555</x:v>
      </x:c>
      <x:c r="M101" s="20" t="str">
        <x:v>possible</x:v>
      </x:c>
      <x:c r="N101" s="23" t="n">
        <x:v>0</x:v>
      </x:c>
      <x:c r="O101" s="23" t="n">
        <x:v>0</x:v>
      </x:c>
      <x:c r="P101" s="23" t="n">
        <x:v>8449691</x:v>
      </x:c>
      <x:c r="Q101" s="23" t="n">
        <x:v>0</x:v>
      </x:c>
      <x:c r="R101" s="24" t="b">
        <x:v>1</x:v>
      </x:c>
      <x:c r="S101" s="23" t="n">
        <x:v>6808000</x:v>
      </x:c>
      <x:c r="T101" s="24" t="b">
        <x:v>1</x:v>
      </x:c>
      <x:c r="U101" s="24" t="b">
        <x:v>1</x:v>
      </x:c>
      <x:c r="V101" s="25" t="n">
        <x:f>N101+1.5*O101+3*P101+3*Q101</x:f>
        <x:v>25349073</x:v>
      </x:c>
      <x:c r="W101" s="25" t="n">
        <x:f>IF(S101="","",S101*3)</x:f>
        <x:v>20424000</x:v>
      </x:c>
      <x:c r="X101" s="25" t="n">
        <x:f>IF(OR(Z101="No",W101=""),"",V101-W101)</x:f>
        <x:v>4925073</x:v>
      </x:c>
      <x:c r="Y101" s="26" t="n">
        <x:f>IF(OR(Z101="No",W101=""),"",IFERROR(V101/W101,0))</x:f>
        <x:v>1.2411414512338426</x:v>
      </x:c>
      <x:c r="Z101" s="27" t="str">
        <x:f>IF(AND(U101=TRUE,V101=0),"No","Yes")</x:f>
        <x:v>Yes</x:v>
      </x:c>
      <x:c r="AA101" s="27" t="str">
        <x:f>IF(Z101="No","Not comparable",IF(X101="","Unknown cost",IF(X101&gt;0,"Yes","No")))</x:f>
        <x:v>Yes</x:v>
      </x:c>
      <x:c r="AB101" s="20" t="str">
        <x:v>6.808M</x:v>
      </x:c>
    </x:row>
    <x:row r="102">
      <x:c r="A102" s="20" t="str">
        <x:v>s10-20261002-08</x:v>
      </x:c>
      <x:c r="B102" s="21" t="d">
        <x:v>2026-10-02T00:00:00.000Z</x:v>
      </x:c>
      <x:c r="C102" s="22" t="n">
        <x:v>10</x:v>
      </x:c>
      <x:c r="D102" s="20" t="str">
        <x:v>PTS scan card</x:v>
      </x:c>
      <x:c r="E102" s="20" t="str">
        <x:v>Delivery: Metal</x:v>
      </x:c>
      <x:c r="F102" s="20" t="str">
        <x:v>PvP</x:v>
      </x:c>
      <x:c r="G102" s="23" t="n">
        <x:v>3</x:v>
      </x:c>
      <x:c r="H102" s="23" t="n">
        <x:v>732</x:v>
      </x:c>
      <x:c r="I102" s="23" t="str">
        <x:v>Delivery</x:v>
      </x:c>
      <x:c r="J102" s="23" t="n">
        <x:v>1</x:v>
      </x:c>
      <x:c r="K102" s="23" t="n">
        <x:v>21</x:v>
      </x:c>
      <x:c r="L102" s="23" t="n">
        <x:v>3080</x:v>
      </x:c>
      <x:c r="M102" s="20" t="str">
        <x:v>possible</x:v>
      </x:c>
      <x:c r="N102" s="23" t="n">
        <x:v>66588378</x:v>
      </x:c>
      <x:c r="O102" s="23" t="n">
        <x:v>0</x:v>
      </x:c>
      <x:c r="P102" s="23" t="n">
        <x:v>0</x:v>
      </x:c>
      <x:c r="Q102" s="23" t="n">
        <x:v>0</x:v>
      </x:c>
      <x:c r="R102" s="24" t="b">
        <x:v>1</x:v>
      </x:c>
      <x:c r="S102" s="23" t="n">
        <x:v>4159000</x:v>
      </x:c>
      <x:c r="T102" s="24" t="b">
        <x:v>1</x:v>
      </x:c>
      <x:c r="U102" s="24" t="b">
        <x:v>1</x:v>
      </x:c>
      <x:c r="V102" s="25" t="n">
        <x:f>N102+1.5*O102+3*P102+3*Q102</x:f>
        <x:v>66588378</x:v>
      </x:c>
      <x:c r="W102" s="25" t="n">
        <x:f>IF(S102="","",S102*3)</x:f>
        <x:v>12477000</x:v>
      </x:c>
      <x:c r="X102" s="25" t="n">
        <x:f>IF(OR(Z102="No",W102=""),"",V102-W102)</x:f>
        <x:v>54111378</x:v>
      </x:c>
      <x:c r="Y102" s="26" t="n">
        <x:f>IF(OR(Z102="No",W102=""),"",IFERROR(V102/W102,0))</x:f>
        <x:v>5.3368901178167825</x:v>
      </x:c>
      <x:c r="Z102" s="27" t="str">
        <x:f>IF(AND(U102=TRUE,V102=0),"No","Yes")</x:f>
        <x:v>Yes</x:v>
      </x:c>
      <x:c r="AA102" s="27" t="str">
        <x:f>IF(Z102="No","Not comparable",IF(X102="","Unknown cost",IF(X102&gt;0,"Yes","No")))</x:f>
        <x:v>Yes</x:v>
      </x:c>
      <x:c r="AB102" s="20" t="str">
        <x:v>4.159M</x:v>
      </x:c>
    </x:row>
    <x:row r="103">
      <x:c r="A103" s="20" t="str">
        <x:v>s10-20261002-09</x:v>
      </x:c>
      <x:c r="B103" s="21" t="d">
        <x:v>2026-10-02T00:00:00.000Z</x:v>
      </x:c>
      <x:c r="C103" s="22" t="n">
        <x:v>10</x:v>
      </x:c>
      <x:c r="D103" s="20" t="str">
        <x:v>PTS scan card</x:v>
      </x:c>
      <x:c r="E103" s="20" t="str">
        <x:v>Lost Debris Field</x:v>
      </x:c>
      <x:c r="F103" s="20" t="str">
        <x:v>PvP</x:v>
      </x:c>
      <x:c r="G103" s="23" t="n">
        <x:v>1</x:v>
      </x:c>
      <x:c r="H103" s="23" t="n">
        <x:v>682</x:v>
      </x:c>
      <x:c r="I103" s="23" t="str">
        <x:v>Combat</x:v>
      </x:c>
      <x:c r="J103" s="23" t="n">
        <x:v>6</x:v>
      </x:c>
      <x:c r="K103" s="23" t="n">
        <x:v>107</x:v>
      </x:c>
      <x:c r="L103" s="23" t="n">
        <x:v>3555</x:v>
      </x:c>
      <x:c r="M103" s="20" t="str">
        <x:v>possible</x:v>
      </x:c>
      <x:c r="N103" s="23" t="n">
        <x:v>34061184</x:v>
      </x:c>
      <x:c r="O103" s="23" t="n">
        <x:v>15165690</x:v>
      </x:c>
      <x:c r="P103" s="23" t="n">
        <x:v>5088183</x:v>
      </x:c>
      <x:c r="Q103" s="23" t="n">
        <x:v>7569152</x:v>
      </x:c>
      <x:c r="R103" s="24" t="b">
        <x:v>1</x:v>
      </x:c>
      <x:c r="S103" s="23" t="n">
        <x:v>7751000</x:v>
      </x:c>
      <x:c r="T103" s="24" t="b">
        <x:v>1</x:v>
      </x:c>
      <x:c r="U103" s="24" t="b">
        <x:v>1</x:v>
      </x:c>
      <x:c r="V103" s="25" t="n">
        <x:f>N103+1.5*O103+3*P103+3*Q103</x:f>
        <x:v>94781724</x:v>
      </x:c>
      <x:c r="W103" s="25" t="n">
        <x:f>IF(S103="","",S103*3)</x:f>
        <x:v>23253000</x:v>
      </x:c>
      <x:c r="X103" s="25" t="n">
        <x:f>IF(OR(Z103="No",W103=""),"",V103-W103)</x:f>
        <x:v>71528724</x:v>
      </x:c>
      <x:c r="Y103" s="26" t="n">
        <x:f>IF(OR(Z103="No",W103=""),"",IFERROR(V103/W103,0))</x:f>
        <x:v>4.076107340988259</x:v>
      </x:c>
      <x:c r="Z103" s="27" t="str">
        <x:f>IF(AND(U103=TRUE,V103=0),"No","Yes")</x:f>
        <x:v>Yes</x:v>
      </x:c>
      <x:c r="AA103" s="27" t="str">
        <x:f>IF(Z103="No","Not comparable",IF(X103="","Unknown cost",IF(X103&gt;0,"Yes","No")))</x:f>
        <x:v>Yes</x:v>
      </x:c>
      <x:c r="AB103" s="20" t="str">
        <x:v>7.751M</x:v>
      </x:c>
    </x:row>
    <x:row r="104">
      <x:c r="A104" s="20" t="str">
        <x:v>s10-20261002-10</x:v>
      </x:c>
      <x:c r="B104" s="21" t="d">
        <x:v>2026-10-02T00:00:00.000Z</x:v>
      </x:c>
      <x:c r="C104" s="22" t="n">
        <x:v>10</x:v>
      </x:c>
      <x:c r="D104" s="20" t="str">
        <x:v>PTS scan card</x:v>
      </x:c>
      <x:c r="E104" s="20" t="str">
        <x:v>Small Alien Encounter</x:v>
      </x:c>
      <x:c r="F104" s="20" t="str">
        <x:v>PvP</x:v>
      </x:c>
      <x:c r="G104" s="23" t="n">
        <x:v>2</x:v>
      </x:c>
      <x:c r="H104" s="23" t="n">
        <x:v>681</x:v>
      </x:c>
      <x:c r="I104" s="23" t="str">
        <x:v>Combat</x:v>
      </x:c>
      <x:c r="J104" s="23" t="n">
        <x:v>3</x:v>
      </x:c>
      <x:c r="K104" s="23" t="n">
        <x:v>56</x:v>
      </x:c>
      <x:c r="L104" s="23" t="n">
        <x:v>2890</x:v>
      </x:c>
      <x:c r="M104" s="20" t="str">
        <x:v>possible</x:v>
      </x:c>
      <x:c r="N104" s="23" t="n">
        <x:v>0</x:v>
      </x:c>
      <x:c r="O104" s="23" t="n">
        <x:v>0</x:v>
      </x:c>
      <x:c r="P104" s="23" t="n">
        <x:v>34812976</x:v>
      </x:c>
      <x:c r="Q104" s="23" t="n">
        <x:v>0</x:v>
      </x:c>
      <x:c r="R104" s="24" t="b">
        <x:v>1</x:v>
      </x:c>
      <x:c r="S104" s="23" t="n">
        <x:v>7740000</x:v>
      </x:c>
      <x:c r="T104" s="24" t="b">
        <x:v>1</x:v>
      </x:c>
      <x:c r="U104" s="24" t="b">
        <x:v>1</x:v>
      </x:c>
      <x:c r="V104" s="25" t="n">
        <x:f>N104+1.5*O104+3*P104+3*Q104</x:f>
        <x:v>104438928</x:v>
      </x:c>
      <x:c r="W104" s="25" t="n">
        <x:f>IF(S104="","",S104*3)</x:f>
        <x:v>23220000</x:v>
      </x:c>
      <x:c r="X104" s="25" t="n">
        <x:f>IF(OR(Z104="No",W104=""),"",V104-W104)</x:f>
        <x:v>81218928</x:v>
      </x:c>
      <x:c r="Y104" s="26" t="n">
        <x:f>IF(OR(Z104="No",W104=""),"",IFERROR(V104/W104,0))</x:f>
        <x:v>4.4978005167958655</x:v>
      </x:c>
      <x:c r="Z104" s="27" t="str">
        <x:f>IF(AND(U104=TRUE,V104=0),"No","Yes")</x:f>
        <x:v>Yes</x:v>
      </x:c>
      <x:c r="AA104" s="27" t="str">
        <x:f>IF(Z104="No","Not comparable",IF(X104="","Unknown cost",IF(X104&gt;0,"Yes","No")))</x:f>
        <x:v>Yes</x:v>
      </x:c>
      <x:c r="AB104" s="20" t="str">
        <x:v>7.74M</x:v>
      </x:c>
    </x:row>
    <x:row r="105">
      <x:c r="A105" s="20" t="str">
        <x:v>s10-20261002-11</x:v>
      </x:c>
      <x:c r="B105" s="21" t="d">
        <x:v>2026-10-02T00:00:00.000Z</x:v>
      </x:c>
      <x:c r="C105" s="22" t="n">
        <x:v>10</x:v>
      </x:c>
      <x:c r="D105" s="20" t="str">
        <x:v>PTS scan card</x:v>
      </x:c>
      <x:c r="E105" s="20" t="str">
        <x:v>Delivery: Metal</x:v>
      </x:c>
      <x:c r="F105" s="20" t="str">
        <x:v>PvP</x:v>
      </x:c>
      <x:c r="G105" s="23" t="n">
        <x:v>5</x:v>
      </x:c>
      <x:c r="H105" s="23" t="n">
        <x:v>538</x:v>
      </x:c>
      <x:c r="I105" s="23" t="str">
        <x:v>Delivery</x:v>
      </x:c>
      <x:c r="J105" s="23" t="n">
        <x:v>4</x:v>
      </x:c>
      <x:c r="K105" s="23" t="n">
        <x:v>86</x:v>
      </x:c>
      <x:c r="L105" s="23" t="n">
        <x:v>3650</x:v>
      </x:c>
      <x:c r="M105" s="20" t="str">
        <x:v>possible</x:v>
      </x:c>
      <x:c r="N105" s="23" t="n">
        <x:v>345463360</x:v>
      </x:c>
      <x:c r="O105" s="23" t="n">
        <x:v>0</x:v>
      </x:c>
      <x:c r="P105" s="23" t="n">
        <x:v>0</x:v>
      </x:c>
      <x:c r="Q105" s="23" t="n">
        <x:v>0</x:v>
      </x:c>
      <x:c r="R105" s="24" t="b">
        <x:v>1</x:v>
      </x:c>
      <x:c r="S105" s="23" t="n">
        <x:v>20382000</x:v>
      </x:c>
      <x:c r="T105" s="24" t="b">
        <x:v>1</x:v>
      </x:c>
      <x:c r="U105" s="24" t="b">
        <x:v>1</x:v>
      </x:c>
      <x:c r="V105" s="25" t="n">
        <x:f>N105+1.5*O105+3*P105+3*Q105</x:f>
        <x:v>345463360</x:v>
      </x:c>
      <x:c r="W105" s="25" t="n">
        <x:f>IF(S105="","",S105*3)</x:f>
        <x:v>61146000</x:v>
      </x:c>
      <x:c r="X105" s="25" t="n">
        <x:f>IF(OR(Z105="No",W105=""),"",V105-W105)</x:f>
        <x:v>284317360</x:v>
      </x:c>
      <x:c r="Y105" s="26" t="n">
        <x:f>IF(OR(Z105="No",W105=""),"",IFERROR(V105/W105,0))</x:f>
        <x:v>5.649811271383246</x:v>
      </x:c>
      <x:c r="Z105" s="27" t="str">
        <x:f>IF(AND(U105=TRUE,V105=0),"No","Yes")</x:f>
        <x:v>Yes</x:v>
      </x:c>
      <x:c r="AA105" s="27" t="str">
        <x:f>IF(Z105="No","Not comparable",IF(X105="","Unknown cost",IF(X105&gt;0,"Yes","No")))</x:f>
        <x:v>Yes</x:v>
      </x:c>
      <x:c r="AB105" s="20" t="str">
        <x:v>20.382M</x:v>
      </x:c>
    </x:row>
    <x:row r="106">
      <x:c r="A106" s="20" t="str">
        <x:v>s10-20261002-12</x:v>
      </x:c>
      <x:c r="B106" s="21" t="d">
        <x:v>2026-10-02T00:00:00.000Z</x:v>
      </x:c>
      <x:c r="C106" s="22" t="n">
        <x:v>10</x:v>
      </x:c>
      <x:c r="D106" s="20" t="str">
        <x:v>PTS scan card</x:v>
      </x:c>
      <x:c r="E106" s="20" t="str">
        <x:v>Medium Alien Encounter</x:v>
      </x:c>
      <x:c r="F106" s="20" t="str">
        <x:v>PvP</x:v>
      </x:c>
      <x:c r="G106" s="23" t="n">
        <x:v>1</x:v>
      </x:c>
      <x:c r="H106" s="23" t="n">
        <x:v>663</x:v>
      </x:c>
      <x:c r="I106" s="23" t="str">
        <x:v>Combat</x:v>
      </x:c>
      <x:c r="J106" s="23" t="n">
        <x:v>2</x:v>
      </x:c>
      <x:c r="K106" s="23" t="n">
        <x:v>38</x:v>
      </x:c>
      <x:c r="L106" s="23" t="n">
        <x:v>3365</x:v>
      </x:c>
      <x:c r="M106" s="20" t="str">
        <x:v>possible</x:v>
      </x:c>
      <x:c r="N106" s="23" t="n">
        <x:v>20498057</x:v>
      </x:c>
      <x:c r="O106" s="23" t="n">
        <x:v>13828378</x:v>
      </x:c>
      <x:c r="P106" s="23" t="n">
        <x:v>0</x:v>
      </x:c>
      <x:c r="Q106" s="23" t="n">
        <x:v>0</x:v>
      </x:c>
      <x:c r="R106" s="24" t="b">
        <x:v>1</x:v>
      </x:c>
      <x:c r="S106" s="23" t="n">
        <x:v>2511000</x:v>
      </x:c>
      <x:c r="T106" s="24" t="b">
        <x:v>1</x:v>
      </x:c>
      <x:c r="U106" s="24" t="b">
        <x:v>1</x:v>
      </x:c>
      <x:c r="V106" s="25" t="n">
        <x:f>N106+1.5*O106+3*P106+3*Q106</x:f>
        <x:v>41240624</x:v>
      </x:c>
      <x:c r="W106" s="25" t="n">
        <x:f>IF(S106="","",S106*3)</x:f>
        <x:v>7533000</x:v>
      </x:c>
      <x:c r="X106" s="25" t="n">
        <x:f>IF(OR(Z106="No",W106=""),"",V106-W106)</x:f>
        <x:v>33707624</x:v>
      </x:c>
      <x:c r="Y106" s="26" t="n">
        <x:f>IF(OR(Z106="No",W106=""),"",IFERROR(V106/W106,0))</x:f>
        <x:v>5.474661356697199</x:v>
      </x:c>
      <x:c r="Z106" s="27" t="str">
        <x:f>IF(AND(U106=TRUE,V106=0),"No","Yes")</x:f>
        <x:v>Yes</x:v>
      </x:c>
      <x:c r="AA106" s="27" t="str">
        <x:f>IF(Z106="No","Not comparable",IF(X106="","Unknown cost",IF(X106&gt;0,"Yes","No")))</x:f>
        <x:v>Yes</x:v>
      </x:c>
      <x:c r="AB106" s="20" t="str">
        <x:v>2.511M</x:v>
      </x:c>
    </x:row>
    <x:row r="107">
      <x:c r="A107" s="20" t="str">
        <x:v>s50-20261002-01</x:v>
      </x:c>
      <x:c r="B107" s="21" t="d">
        <x:v>2026-10-02T00:00:00.000Z</x:v>
      </x:c>
      <x:c r="C107" s="22" t="n">
        <x:v>50</x:v>
      </x:c>
      <x:c r="D107" s="20" t="str">
        <x:v>PTS scan card</x:v>
      </x:c>
      <x:c r="E107" s="20" t="str">
        <x:v>Delivery: Metal</x:v>
      </x:c>
      <x:c r="F107" s="20" t="str">
        <x:v>PvE</x:v>
      </x:c>
      <x:c r="G107" s="23" t="n">
        <x:v>4</x:v>
      </x:c>
      <x:c r="H107" s="23" t="n">
        <x:v>556</x:v>
      </x:c>
      <x:c r="I107" s="23" t="str">
        <x:v>Delivery</x:v>
      </x:c>
      <x:c r="J107" s="23" t="n">
        <x:v>6</x:v>
      </x:c>
      <x:c r="K107" s="23" t="n">
        <x:v>152</x:v>
      </x:c>
      <x:c r="L107" s="23" t="n">
        <x:v>6215</x:v>
      </x:c>
      <x:c r="M107" s="20" t="str">
        <x:v>possible</x:v>
      </x:c>
      <x:c r="N107" s="23" t="n">
        <x:v>166610082</x:v>
      </x:c>
      <x:c r="O107" s="23" t="n">
        <x:v>0</x:v>
      </x:c>
      <x:c r="P107" s="23" t="n">
        <x:v>0</x:v>
      </x:c>
      <x:c r="Q107" s="23" t="n">
        <x:v>0</x:v>
      </x:c>
      <x:c r="R107" s="24" t="b">
        <x:v>1</x:v>
      </x:c>
      <x:c r="S107" s="23" t="n">
        <x:v>25277000</x:v>
      </x:c>
      <x:c r="T107" s="24" t="b">
        <x:v>1</x:v>
      </x:c>
      <x:c r="U107" s="24" t="b">
        <x:v>1</x:v>
      </x:c>
      <x:c r="V107" s="25" t="n">
        <x:f>N107+1.5*O107+3*P107+3*Q107</x:f>
        <x:v>166610082</x:v>
      </x:c>
      <x:c r="W107" s="25" t="n">
        <x:f>IF(S107="","",S107*3)</x:f>
        <x:v>75831000</x:v>
      </x:c>
      <x:c r="X107" s="25" t="n">
        <x:f>IF(OR(Z107="No",W107=""),"",V107-W107)</x:f>
        <x:v>90779082</x:v>
      </x:c>
      <x:c r="Y107" s="26" t="n">
        <x:f>IF(OR(Z107="No",W107=""),"",IFERROR(V107/W107,0))</x:f>
        <x:v>2.197123630177632</x:v>
      </x:c>
      <x:c r="Z107" s="27" t="str">
        <x:f>IF(AND(U107=TRUE,V107=0),"No","Yes")</x:f>
        <x:v>Yes</x:v>
      </x:c>
      <x:c r="AA107" s="27" t="str">
        <x:f>IF(Z107="No","Not comparable",IF(X107="","Unknown cost",IF(X107&gt;0,"Yes","No")))</x:f>
        <x:v>Yes</x:v>
      </x:c>
      <x:c r="AB107" s="20" t="str">
        <x:v>25.277M</x:v>
      </x:c>
    </x:row>
    <x:row r="108">
      <x:c r="A108" s="20" t="str">
        <x:v>s50-20261002-02</x:v>
      </x:c>
      <x:c r="B108" s="21" t="d">
        <x:v>2026-10-02T00:00:00.000Z</x:v>
      </x:c>
      <x:c r="C108" s="22" t="n">
        <x:v>50</x:v>
      </x:c>
      <x:c r="D108" s="20" t="str">
        <x:v>PTS scan card</x:v>
      </x:c>
      <x:c r="E108" s="20" t="str">
        <x:v>Mysterious Nebula</x:v>
      </x:c>
      <x:c r="F108" s="20" t="str">
        <x:v>PvE</x:v>
      </x:c>
      <x:c r="G108" s="23" t="n">
        <x:v>4</x:v>
      </x:c>
      <x:c r="H108" s="23" t="n">
        <x:v>597</x:v>
      </x:c>
      <x:c r="I108" s="23" t="str">
        <x:v>Delivery</x:v>
      </x:c>
      <x:c r="J108" s="23" t="n">
        <x:v>5</x:v>
      </x:c>
      <x:c r="K108" s="23" t="n">
        <x:v>143</x:v>
      </x:c>
      <x:c r="L108" s="23" t="n">
        <x:v>3175</x:v>
      </x:c>
      <x:c r="M108" s="20" t="str">
        <x:v>possible</x:v>
      </x:c>
      <x:c r="N108" s="23" t="n">
        <x:v>14641794</x:v>
      </x:c>
      <x:c r="O108" s="23" t="n">
        <x:v>6519237</x:v>
      </x:c>
      <x:c r="P108" s="23" t="n">
        <x:v>2187245</x:v>
      </x:c>
      <x:c r="Q108" s="23" t="n">
        <x:v>13014928</x:v>
      </x:c>
      <x:c r="R108" s="24" t="b">
        <x:v>1</x:v>
      </x:c>
      <x:c r="S108" s="23" t="n">
        <x:v>22617000</x:v>
      </x:c>
      <x:c r="T108" s="24" t="b">
        <x:v>1</x:v>
      </x:c>
      <x:c r="U108" s="24" t="b">
        <x:v>1</x:v>
      </x:c>
      <x:c r="V108" s="25" t="n">
        <x:f>N108+1.5*O108+3*P108+3*Q108</x:f>
        <x:v>70027168.5</x:v>
      </x:c>
      <x:c r="W108" s="25" t="n">
        <x:f>IF(S108="","",S108*3)</x:f>
        <x:v>67851000</x:v>
      </x:c>
      <x:c r="X108" s="25" t="n">
        <x:f>IF(OR(Z108="No",W108=""),"",V108-W108)</x:f>
        <x:v>2176168.5</x:v>
      </x:c>
      <x:c r="Y108" s="26" t="n">
        <x:f>IF(OR(Z108="No",W108=""),"",IFERROR(V108/W108,0))</x:f>
        <x:v>1.0320727550072955</x:v>
      </x:c>
      <x:c r="Z108" s="27" t="str">
        <x:f>IF(AND(U108=TRUE,V108=0),"No","Yes")</x:f>
        <x:v>Yes</x:v>
      </x:c>
      <x:c r="AA108" s="27" t="str">
        <x:f>IF(Z108="No","Not comparable",IF(X108="","Unknown cost",IF(X108&gt;0,"Yes","No")))</x:f>
        <x:v>Yes</x:v>
      </x:c>
      <x:c r="AB108" s="20" t="str">
        <x:v>22.617M</x:v>
      </x:c>
    </x:row>
    <x:row r="109">
      <x:c r="A109" s="20" t="str">
        <x:v>s50-20261002-03</x:v>
      </x:c>
      <x:c r="B109" s="21" t="d">
        <x:v>2026-10-02T00:00:00.000Z</x:v>
      </x:c>
      <x:c r="C109" s="22" t="n">
        <x:v>50</x:v>
      </x:c>
      <x:c r="D109" s="20" t="str">
        <x:v>PTS scan card</x:v>
      </x:c>
      <x:c r="E109" s="20" t="str">
        <x:v>Rescue</x:v>
      </x:c>
      <x:c r="F109" s="20" t="str">
        <x:v>PvE</x:v>
      </x:c>
      <x:c r="G109" s="23" t="n">
        <x:v>2</x:v>
      </x:c>
      <x:c r="H109" s="23" t="n">
        <x:v>577</x:v>
      </x:c>
      <x:c r="I109" s="23" t="str">
        <x:v>Combat</x:v>
      </x:c>
      <x:c r="J109" s="23" t="n">
        <x:v>1</x:v>
      </x:c>
      <x:c r="K109" s="23" t="n">
        <x:v>22</x:v>
      </x:c>
      <x:c r="L109" s="23" t="n">
        <x:v>3840</x:v>
      </x:c>
      <x:c r="M109" s="20" t="str">
        <x:v>possible</x:v>
      </x:c>
      <x:c r="N109" s="23" t="n">
        <x:v>0</x:v>
      </x:c>
      <x:c r="O109" s="23" t="n">
        <x:v>0</x:v>
      </x:c>
      <x:c r="P109" s="23" t="n">
        <x:v>0</x:v>
      </x:c>
      <x:c r="Q109" s="23" t="n">
        <x:v>0</x:v>
      </x:c>
      <x:c r="R109" s="24" t="b">
        <x:v>1</x:v>
      </x:c>
      <x:c r="S109" s="23" t="n">
        <x:v>2185000</x:v>
      </x:c>
      <x:c r="T109" s="24" t="b">
        <x:v>1</x:v>
      </x:c>
      <x:c r="U109" s="24" t="b">
        <x:v>1</x:v>
      </x:c>
      <x:c r="V109" s="25" t="n">
        <x:f>N109+1.5*O109+3*P109+3*Q109</x:f>
        <x:v>0</x:v>
      </x:c>
      <x:c r="W109" s="25" t="n">
        <x:f>IF(S109="","",S109*3)</x:f>
        <x:v>6555000</x:v>
      </x:c>
      <x:c r="X109" s="25" t="str">
        <x:f>IF(OR(Z109="No",W109=""),"",V109-W109)</x:f>
      </x:c>
      <x:c r="Y109" s="26" t="str">
        <x:f>IF(OR(Z109="No",W109=""),"",IFERROR(V109/W109,0))</x:f>
      </x:c>
      <x:c r="Z109" s="27" t="str">
        <x:f>IF(AND(U109=TRUE,V109=0),"No","Yes")</x:f>
        <x:v>No</x:v>
      </x:c>
      <x:c r="AA109" s="27" t="str">
        <x:f>IF(Z109="No","Not comparable",IF(X109="","Unknown cost",IF(X109&gt;0,"Yes","No")))</x:f>
        <x:v>Not comparable</x:v>
      </x:c>
      <x:c r="AB109" s="20" t="str">
        <x:v>2.185M</x:v>
      </x:c>
    </x:row>
    <x:row r="110">
      <x:c r="A110" s="20" t="str">
        <x:v>s50-20261002-04</x:v>
      </x:c>
      <x:c r="B110" s="21" t="d">
        <x:v>2026-10-02T00:00:00.000Z</x:v>
      </x:c>
      <x:c r="C110" s="22" t="n">
        <x:v>50</x:v>
      </x:c>
      <x:c r="D110" s="20" t="str">
        <x:v>PTS scan card</x:v>
      </x:c>
      <x:c r="E110" s="20" t="str">
        <x:v>Delivery: Deuterium</x:v>
      </x:c>
      <x:c r="F110" s="20" t="str">
        <x:v>PvP</x:v>
      </x:c>
      <x:c r="G110" s="23" t="n">
        <x:v>2</x:v>
      </x:c>
      <x:c r="H110" s="23" t="n">
        <x:v>566</x:v>
      </x:c>
      <x:c r="I110" s="23" t="str">
        <x:v>Delivery</x:v>
      </x:c>
      <x:c r="J110" s="23" t="n">
        <x:v>5</x:v>
      </x:c>
      <x:c r="K110" s="23" t="n">
        <x:v>145</x:v>
      </x:c>
      <x:c r="L110" s="23" t="n">
        <x:v>4505</x:v>
      </x:c>
      <x:c r="M110" s="20" t="str">
        <x:v>possible</x:v>
      </x:c>
      <x:c r="N110" s="23" t="n">
        <x:v>0</x:v>
      </x:c>
      <x:c r="O110" s="23" t="n">
        <x:v>0</x:v>
      </x:c>
      <x:c r="P110" s="23" t="n">
        <x:v>81320370</x:v>
      </x:c>
      <x:c r="Q110" s="23" t="n">
        <x:v>0</x:v>
      </x:c>
      <x:c r="R110" s="24" t="b">
        <x:v>1</x:v>
      </x:c>
      <x:c r="S110" s="23" t="n">
        <x:v>10721000</x:v>
      </x:c>
      <x:c r="T110" s="24" t="b">
        <x:v>1</x:v>
      </x:c>
      <x:c r="U110" s="24" t="b">
        <x:v>1</x:v>
      </x:c>
      <x:c r="V110" s="25" t="n">
        <x:f>N110+1.5*O110+3*P110+3*Q110</x:f>
        <x:v>243961110</x:v>
      </x:c>
      <x:c r="W110" s="25" t="n">
        <x:f>IF(S110="","",S110*3)</x:f>
        <x:v>32163000</x:v>
      </x:c>
      <x:c r="X110" s="25" t="n">
        <x:f>IF(OR(Z110="No",W110=""),"",V110-W110)</x:f>
        <x:v>211798110</x:v>
      </x:c>
      <x:c r="Y110" s="26" t="n">
        <x:f>IF(OR(Z110="No",W110=""),"",IFERROR(V110/W110,0))</x:f>
        <x:v>7.585147840686503</x:v>
      </x:c>
      <x:c r="Z110" s="27" t="str">
        <x:f>IF(AND(U110=TRUE,V110=0),"No","Yes")</x:f>
        <x:v>Yes</x:v>
      </x:c>
      <x:c r="AA110" s="27" t="str">
        <x:f>IF(Z110="No","Not comparable",IF(X110="","Unknown cost",IF(X110&gt;0,"Yes","No")))</x:f>
        <x:v>Yes</x:v>
      </x:c>
      <x:c r="AB110" s="20" t="str">
        <x:v>10.721M</x:v>
      </x:c>
    </x:row>
    <x:row r="111">
      <x:c r="A111" s="20" t="str">
        <x:v>s50-20261002-05</x:v>
      </x:c>
      <x:c r="B111" s="21" t="d">
        <x:v>2026-10-02T00:00:00.000Z</x:v>
      </x:c>
      <x:c r="C111" s="22" t="n">
        <x:v>50</x:v>
      </x:c>
      <x:c r="D111" s="20" t="str">
        <x:v>PTS scan card</x:v>
      </x:c>
      <x:c r="E111" s="20" t="str">
        <x:v>Pirate Hideout</x:v>
      </x:c>
      <x:c r="F111" s="20" t="str">
        <x:v>PvE</x:v>
      </x:c>
      <x:c r="G111" s="23" t="n">
        <x:v>3</x:v>
      </x:c>
      <x:c r="H111" s="23" t="n">
        <x:v>664</x:v>
      </x:c>
      <x:c r="I111" s="23" t="str">
        <x:v>Combat</x:v>
      </x:c>
      <x:c r="J111" s="23" t="n">
        <x:v>1</x:v>
      </x:c>
      <x:c r="K111" s="23" t="n">
        <x:v>17</x:v>
      </x:c>
      <x:c r="L111" s="23" t="n">
        <x:v>4695</x:v>
      </x:c>
      <x:c r="M111" s="20" t="str">
        <x:v>possible</x:v>
      </x:c>
      <x:c r="N111" s="23" t="n">
        <x:v>17423820</x:v>
      </x:c>
      <x:c r="O111" s="23" t="n">
        <x:v>7757930</x:v>
      </x:c>
      <x:c r="P111" s="23" t="n">
        <x:v>2602834</x:v>
      </x:c>
      <x:c r="Q111" s="23" t="n">
        <x:v>0</x:v>
      </x:c>
      <x:c r="R111" s="24" t="b">
        <x:v>1</x:v>
      </x:c>
      <x:c r="S111" s="23" t="n">
        <x:v>3773000</x:v>
      </x:c>
      <x:c r="T111" s="24" t="b">
        <x:v>1</x:v>
      </x:c>
      <x:c r="U111" s="24" t="b">
        <x:v>1</x:v>
      </x:c>
      <x:c r="V111" s="25" t="n">
        <x:f>N111+1.5*O111+3*P111+3*Q111</x:f>
        <x:v>36869217</x:v>
      </x:c>
      <x:c r="W111" s="25" t="n">
        <x:f>IF(S111="","",S111*3)</x:f>
        <x:v>11319000</x:v>
      </x:c>
      <x:c r="X111" s="25" t="n">
        <x:f>IF(OR(Z111="No",W111=""),"",V111-W111)</x:f>
        <x:v>25550217</x:v>
      </x:c>
      <x:c r="Y111" s="26" t="n">
        <x:f>IF(OR(Z111="No",W111=""),"",IFERROR(V111/W111,0))</x:f>
        <x:v>3.257285714285714</x:v>
      </x:c>
      <x:c r="Z111" s="27" t="str">
        <x:f>IF(AND(U111=TRUE,V111=0),"No","Yes")</x:f>
        <x:v>Yes</x:v>
      </x:c>
      <x:c r="AA111" s="27" t="str">
        <x:f>IF(Z111="No","Not comparable",IF(X111="","Unknown cost",IF(X111&gt;0,"Yes","No")))</x:f>
        <x:v>Yes</x:v>
      </x:c>
      <x:c r="AB111" s="20" t="str">
        <x:v>3.773M</x:v>
      </x:c>
    </x:row>
    <x:row r="112">
      <x:c r="A112" s="20" t="str">
        <x:v>s50-20261002-06</x:v>
      </x:c>
      <x:c r="B112" s="21" t="d">
        <x:v>2026-10-02T00:00:00.000Z</x:v>
      </x:c>
      <x:c r="C112" s="22" t="n">
        <x:v>50</x:v>
      </x:c>
      <x:c r="D112" s="20" t="str">
        <x:v>PTS scan card</x:v>
      </x:c>
      <x:c r="E112" s="20" t="str">
        <x:v>Mysterious Nebula</x:v>
      </x:c>
      <x:c r="F112" s="20" t="str">
        <x:v>PvE</x:v>
      </x:c>
      <x:c r="G112" s="23" t="n">
        <x:v>4</x:v>
      </x:c>
      <x:c r="H112" s="23" t="n">
        <x:v>683</x:v>
      </x:c>
      <x:c r="I112" s="23" t="str">
        <x:v>Delivery</x:v>
      </x:c>
      <x:c r="J112" s="23" t="n">
        <x:v>3</x:v>
      </x:c>
      <x:c r="K112" s="23" t="n">
        <x:v>81</x:v>
      </x:c>
      <x:c r="L112" s="23" t="n">
        <x:v>6120</x:v>
      </x:c>
      <x:c r="M112" s="20" t="str">
        <x:v>possible</x:v>
      </x:c>
      <x:c r="N112" s="23" t="n">
        <x:v>0</x:v>
      </x:c>
      <x:c r="O112" s="23" t="n">
        <x:v>0</x:v>
      </x:c>
      <x:c r="P112" s="23" t="n">
        <x:v>0</x:v>
      </x:c>
      <x:c r="Q112" s="23" t="n">
        <x:v>5380623</x:v>
      </x:c>
      <x:c r="R112" s="24" t="b">
        <x:v>1</x:v>
      </x:c>
      <x:c r="S112" s="23" t="n">
        <x:v>11644000</x:v>
      </x:c>
      <x:c r="T112" s="24" t="b">
        <x:v>1</x:v>
      </x:c>
      <x:c r="U112" s="24" t="b">
        <x:v>1</x:v>
      </x:c>
      <x:c r="V112" s="25" t="n">
        <x:f>N112+1.5*O112+3*P112+3*Q112</x:f>
        <x:v>16141869</x:v>
      </x:c>
      <x:c r="W112" s="25" t="n">
        <x:f>IF(S112="","",S112*3)</x:f>
        <x:v>34932000</x:v>
      </x:c>
      <x:c r="X112" s="25" t="n">
        <x:f>IF(OR(Z112="No",W112=""),"",V112-W112)</x:f>
        <x:v>-18790131</x:v>
      </x:c>
      <x:c r="Y112" s="26" t="n">
        <x:f>IF(OR(Z112="No",W112=""),"",IFERROR(V112/W112,0))</x:f>
        <x:v>0.46209403984884917</x:v>
      </x:c>
      <x:c r="Z112" s="27" t="str">
        <x:f>IF(AND(U112=TRUE,V112=0),"No","Yes")</x:f>
        <x:v>Yes</x:v>
      </x:c>
      <x:c r="AA112" s="27" t="str">
        <x:f>IF(Z112="No","Not comparable",IF(X112="","Unknown cost",IF(X112&gt;0,"Yes","No")))</x:f>
        <x:v>No</x:v>
      </x:c>
      <x:c r="AB112" s="20" t="str">
        <x:v>11.644M</x:v>
      </x:c>
    </x:row>
    <x:row r="113">
      <x:c r="A113" s="20" t="str">
        <x:v>s50-20261002-07</x:v>
      </x:c>
      <x:c r="B113" s="21" t="d">
        <x:v>2026-10-02T00:00:00.000Z</x:v>
      </x:c>
      <x:c r="C113" s="22" t="n">
        <x:v>50</x:v>
      </x:c>
      <x:c r="D113" s="20" t="str">
        <x:v>PTS scan card</x:v>
      </x:c>
      <x:c r="E113" s="20" t="str">
        <x:v>Chaos Mission</x:v>
      </x:c>
      <x:c r="F113" s="20" t="str">
        <x:v>PvE</x:v>
      </x:c>
      <x:c r="G113" s="23" t="n">
        <x:v>1</x:v>
      </x:c>
      <x:c r="H113" s="23" t="n">
        <x:v>598</x:v>
      </x:c>
      <x:c r="I113" s="23" t="str">
        <x:v>Combat</x:v>
      </x:c>
      <x:c r="J113" s="23" t="n">
        <x:v>9</x:v>
      </x:c>
      <x:c r="K113" s="23" t="n">
        <x:v>182</x:v>
      </x:c>
      <x:c r="L113" s="23" t="n">
        <x:v>3840</x:v>
      </x:c>
      <x:c r="M113" s="20" t="str">
        <x:v>possible</x:v>
      </x:c>
      <x:c r="N113" s="23" t="n">
        <x:v>45383520</x:v>
      </x:c>
      <x:c r="O113" s="23" t="n">
        <x:v>20206944</x:v>
      </x:c>
      <x:c r="P113" s="23" t="n">
        <x:v>6779556</x:v>
      </x:c>
      <x:c r="Q113" s="23" t="n">
        <x:v>0</x:v>
      </x:c>
      <x:c r="R113" s="24" t="b">
        <x:v>1</x:v>
      </x:c>
      <x:c r="S113" s="23" t="n">
        <x:v>10194000</x:v>
      </x:c>
      <x:c r="T113" s="24" t="b">
        <x:v>1</x:v>
      </x:c>
      <x:c r="U113" s="24" t="b">
        <x:v>1</x:v>
      </x:c>
      <x:c r="V113" s="25" t="n">
        <x:f>N113+1.5*O113+3*P113+3*Q113</x:f>
        <x:v>96032604</x:v>
      </x:c>
      <x:c r="W113" s="25" t="n">
        <x:f>IF(S113="","",S113*3)</x:f>
        <x:v>30582000</x:v>
      </x:c>
      <x:c r="X113" s="25" t="n">
        <x:f>IF(OR(Z113="No",W113=""),"",V113-W113)</x:f>
        <x:v>65450604</x:v>
      </x:c>
      <x:c r="Y113" s="26" t="n">
        <x:f>IF(OR(Z113="No",W113=""),"",IFERROR(V113/W113,0))</x:f>
        <x:v>3.1401675495389445</x:v>
      </x:c>
      <x:c r="Z113" s="27" t="str">
        <x:f>IF(AND(U113=TRUE,V113=0),"No","Yes")</x:f>
        <x:v>Yes</x:v>
      </x:c>
      <x:c r="AA113" s="27" t="str">
        <x:f>IF(Z113="No","Not comparable",IF(X113="","Unknown cost",IF(X113&gt;0,"Yes","No")))</x:f>
        <x:v>Yes</x:v>
      </x:c>
      <x:c r="AB113" s="20" t="str">
        <x:v>10.194M</x:v>
      </x:c>
    </x:row>
    <x:row r="114">
      <x:c r="A114" s="20" t="str">
        <x:v>s50-20261002-08</x:v>
      </x:c>
      <x:c r="B114" s="21" t="d">
        <x:v>2026-10-02T00:00:00.000Z</x:v>
      </x:c>
      <x:c r="C114" s="22" t="n">
        <x:v>50</x:v>
      </x:c>
      <x:c r="D114" s="20" t="str">
        <x:v>PTS scan card</x:v>
      </x:c>
      <x:c r="E114" s="20" t="str">
        <x:v>Medium Alien Encounter</x:v>
      </x:c>
      <x:c r="F114" s="20" t="str">
        <x:v>PvP</x:v>
      </x:c>
      <x:c r="G114" s="23" t="n">
        <x:v>4</x:v>
      </x:c>
      <x:c r="H114" s="23" t="n">
        <x:v>600</x:v>
      </x:c>
      <x:c r="I114" s="23" t="str">
        <x:v>Combat</x:v>
      </x:c>
      <x:c r="J114" s="23" t="n">
        <x:v>3</x:v>
      </x:c>
      <x:c r="K114" s="23" t="n">
        <x:v>66</x:v>
      </x:c>
      <x:c r="L114" s="23" t="n">
        <x:v>2985</x:v>
      </x:c>
      <x:c r="M114" s="20" t="str">
        <x:v>possible</x:v>
      </x:c>
      <x:c r="N114" s="23" t="n">
        <x:v>75628082</x:v>
      </x:c>
      <x:c r="O114" s="23" t="n">
        <x:v>84693428</x:v>
      </x:c>
      <x:c r="P114" s="23" t="n">
        <x:v>11297602</x:v>
      </x:c>
      <x:c r="Q114" s="23" t="n">
        <x:v>0</x:v>
      </x:c>
      <x:c r="R114" s="24" t="b">
        <x:v>1</x:v>
      </x:c>
      <x:c r="S114" s="23" t="n">
        <x:v>13638000</x:v>
      </x:c>
      <x:c r="T114" s="24" t="b">
        <x:v>1</x:v>
      </x:c>
      <x:c r="U114" s="24" t="b">
        <x:v>1</x:v>
      </x:c>
      <x:c r="V114" s="25" t="n">
        <x:f>N114+1.5*O114+3*P114+3*Q114</x:f>
        <x:v>236561030</x:v>
      </x:c>
      <x:c r="W114" s="25" t="n">
        <x:f>IF(S114="","",S114*3)</x:f>
        <x:v>40914000</x:v>
      </x:c>
      <x:c r="X114" s="25" t="n">
        <x:f>IF(OR(Z114="No",W114=""),"",V114-W114)</x:f>
        <x:v>195647030</x:v>
      </x:c>
      <x:c r="Y114" s="26" t="n">
        <x:f>IF(OR(Z114="No",W114=""),"",IFERROR(V114/W114,0))</x:f>
        <x:v>5.781909126460381</x:v>
      </x:c>
      <x:c r="Z114" s="27" t="str">
        <x:f>IF(AND(U114=TRUE,V114=0),"No","Yes")</x:f>
        <x:v>Yes</x:v>
      </x:c>
      <x:c r="AA114" s="27" t="str">
        <x:f>IF(Z114="No","Not comparable",IF(X114="","Unknown cost",IF(X114&gt;0,"Yes","No")))</x:f>
        <x:v>Yes</x:v>
      </x:c>
      <x:c r="AB114" s="20" t="str">
        <x:v>13.638M</x:v>
      </x:c>
    </x:row>
    <x:row r="115">
      <x:c r="A115" s="20" t="str">
        <x:v>s50-20261002-09</x:v>
      </x:c>
      <x:c r="B115" s="21" t="d">
        <x:v>2026-10-02T00:00:00.000Z</x:v>
      </x:c>
      <x:c r="C115" s="22" t="n">
        <x:v>50</x:v>
      </x:c>
      <x:c r="D115" s="20" t="str">
        <x:v>PTS scan card</x:v>
      </x:c>
      <x:c r="E115" s="20" t="str">
        <x:v>Delivery: Metal</x:v>
      </x:c>
      <x:c r="F115" s="20" t="str">
        <x:v>PvE</x:v>
      </x:c>
      <x:c r="G115" s="23" t="n">
        <x:v>2</x:v>
      </x:c>
      <x:c r="H115" s="23" t="n">
        <x:v>664</x:v>
      </x:c>
      <x:c r="I115" s="23" t="str">
        <x:v>Delivery</x:v>
      </x:c>
      <x:c r="J115" s="23" t="n">
        <x:v>4</x:v>
      </x:c>
      <x:c r="K115" s="23" t="n">
        <x:v>104</x:v>
      </x:c>
      <x:c r="L115" s="23" t="n">
        <x:v>6215</x:v>
      </x:c>
      <x:c r="M115" s="20" t="str">
        <x:v>possible</x:v>
      </x:c>
      <x:c r="N115" s="23" t="n">
        <x:v>63955660</x:v>
      </x:c>
      <x:c r="O115" s="23" t="n">
        <x:v>0</x:v>
      </x:c>
      <x:c r="P115" s="23" t="n">
        <x:v>0</x:v>
      </x:c>
      <x:c r="Q115" s="23" t="n">
        <x:v>0</x:v>
      </x:c>
      <x:c r="R115" s="24" t="b">
        <x:v>1</x:v>
      </x:c>
      <x:c r="S115" s="23" t="n">
        <x:v>10062000</x:v>
      </x:c>
      <x:c r="T115" s="24" t="b">
        <x:v>1</x:v>
      </x:c>
      <x:c r="U115" s="24" t="b">
        <x:v>1</x:v>
      </x:c>
      <x:c r="V115" s="25" t="n">
        <x:f>N115+1.5*O115+3*P115+3*Q115</x:f>
        <x:v>63955660</x:v>
      </x:c>
      <x:c r="W115" s="25" t="n">
        <x:f>IF(S115="","",S115*3)</x:f>
        <x:v>30186000</x:v>
      </x:c>
      <x:c r="X115" s="25" t="n">
        <x:f>IF(OR(Z115="No",W115=""),"",V115-W115)</x:f>
        <x:v>33769660</x:v>
      </x:c>
      <x:c r="Y115" s="26" t="n">
        <x:f>IF(OR(Z115="No",W115=""),"",IFERROR(V115/W115,0))</x:f>
        <x:v>2.118719273835553</x:v>
      </x:c>
      <x:c r="Z115" s="27" t="str">
        <x:f>IF(AND(U115=TRUE,V115=0),"No","Yes")</x:f>
        <x:v>Yes</x:v>
      </x:c>
      <x:c r="AA115" s="27" t="str">
        <x:f>IF(Z115="No","Not comparable",IF(X115="","Unknown cost",IF(X115&gt;0,"Yes","No")))</x:f>
        <x:v>Yes</x:v>
      </x:c>
      <x:c r="AB115" s="20" t="str">
        <x:v>10.062M</x:v>
      </x:c>
    </x:row>
    <x:row r="116">
      <x:c r="A116" s="20" t="str">
        <x:v>s50-20261002-10</x:v>
      </x:c>
      <x:c r="B116" s="21" t="d">
        <x:v>2026-10-02T00:00:00.000Z</x:v>
      </x:c>
      <x:c r="C116" s="22" t="n">
        <x:v>50</x:v>
      </x:c>
      <x:c r="D116" s="20" t="str">
        <x:v>PTS scan card</x:v>
      </x:c>
      <x:c r="E116" s="20" t="str">
        <x:v>Delivery: Crystal</x:v>
      </x:c>
      <x:c r="F116" s="20" t="str">
        <x:v>PvE</x:v>
      </x:c>
      <x:c r="G116" s="23" t="n">
        <x:v>3</x:v>
      </x:c>
      <x:c r="H116" s="23" t="n">
        <x:v>620</x:v>
      </x:c>
      <x:c r="I116" s="23" t="str">
        <x:v>Delivery</x:v>
      </x:c>
      <x:c r="J116" s="23" t="n">
        <x:v>5</x:v>
      </x:c>
      <x:c r="K116" s="23" t="n">
        <x:v>130</x:v>
      </x:c>
      <x:c r="L116" s="23" t="n">
        <x:v>6215</x:v>
      </x:c>
      <x:c r="M116" s="20" t="str">
        <x:v>possible</x:v>
      </x:c>
      <x:c r="N116" s="23" t="n">
        <x:v>0</x:v>
      </x:c>
      <x:c r="O116" s="23" t="n">
        <x:v>76936330</x:v>
      </x:c>
      <x:c r="P116" s="23" t="n">
        <x:v>0</x:v>
      </x:c>
      <x:c r="Q116" s="23" t="n">
        <x:v>0</x:v>
      </x:c>
      <x:c r="R116" s="24" t="b">
        <x:v>1</x:v>
      </x:c>
      <x:c r="S116" s="23" t="n">
        <x:v>17616000</x:v>
      </x:c>
      <x:c r="T116" s="24" t="b">
        <x:v>1</x:v>
      </x:c>
      <x:c r="U116" s="24" t="b">
        <x:v>1</x:v>
      </x:c>
      <x:c r="V116" s="25" t="n">
        <x:f>N116+1.5*O116+3*P116+3*Q116</x:f>
        <x:v>115404495</x:v>
      </x:c>
      <x:c r="W116" s="25" t="n">
        <x:f>IF(S116="","",S116*3)</x:f>
        <x:v>52848000</x:v>
      </x:c>
      <x:c r="X116" s="25" t="n">
        <x:f>IF(OR(Z116="No",W116=""),"",V116-W116)</x:f>
        <x:v>62556495</x:v>
      </x:c>
      <x:c r="Y116" s="26" t="n">
        <x:f>IF(OR(Z116="No",W116=""),"",IFERROR(V116/W116,0))</x:f>
        <x:v>2.183706005903724</x:v>
      </x:c>
      <x:c r="Z116" s="27" t="str">
        <x:f>IF(AND(U116=TRUE,V116=0),"No","Yes")</x:f>
        <x:v>Yes</x:v>
      </x:c>
      <x:c r="AA116" s="27" t="str">
        <x:f>IF(Z116="No","Not comparable",IF(X116="","Unknown cost",IF(X116&gt;0,"Yes","No")))</x:f>
        <x:v>Yes</x:v>
      </x:c>
      <x:c r="AB116" s="20" t="str">
        <x:v>17.616M</x:v>
      </x:c>
    </x:row>
    <x:row r="117">
      <x:c r="A117" s="20" t="str">
        <x:v>s50-20261002-11</x:v>
      </x:c>
      <x:c r="B117" s="21" t="d">
        <x:v>2026-10-02T00:00:00.000Z</x:v>
      </x:c>
      <x:c r="C117" s="22" t="n">
        <x:v>50</x:v>
      </x:c>
      <x:c r="D117" s="20" t="str">
        <x:v>PTS scan card</x:v>
      </x:c>
      <x:c r="E117" s="20" t="str">
        <x:v>Chaos Mission</x:v>
      </x:c>
      <x:c r="F117" s="20" t="str">
        <x:v>PvP</x:v>
      </x:c>
      <x:c r="G117" s="23" t="n">
        <x:v>4</x:v>
      </x:c>
      <x:c r="H117" s="23" t="n">
        <x:v>704</x:v>
      </x:c>
      <x:c r="I117" s="23" t="str">
        <x:v>Combat</x:v>
      </x:c>
      <x:c r="J117" s="23" t="n">
        <x:v>4</x:v>
      </x:c>
      <x:c r="K117" s="23" t="n">
        <x:v>81</x:v>
      </x:c>
      <x:c r="L117" s="23" t="n">
        <x:v>2985</x:v>
      </x:c>
      <x:c r="M117" s="20" t="str">
        <x:v>possible</x:v>
      </x:c>
      <x:c r="N117" s="23" t="n">
        <x:v>260801628</x:v>
      </x:c>
      <x:c r="O117" s="23" t="n">
        <x:v>116121537</x:v>
      </x:c>
      <x:c r="P117" s="23" t="n">
        <x:v>38959509</x:v>
      </x:c>
      <x:c r="Q117" s="23" t="n">
        <x:v>0</x:v>
      </x:c>
      <x:c r="R117" s="24" t="b">
        <x:v>1</x:v>
      </x:c>
      <x:c r="S117" s="23" t="n">
        <x:v>21337000</x:v>
      </x:c>
      <x:c r="T117" s="24" t="b">
        <x:v>1</x:v>
      </x:c>
      <x:c r="U117" s="24" t="b">
        <x:v>1</x:v>
      </x:c>
      <x:c r="V117" s="25" t="n">
        <x:f>N117+1.5*O117+3*P117+3*Q117</x:f>
        <x:v>551862460.5</x:v>
      </x:c>
      <x:c r="W117" s="25" t="n">
        <x:f>IF(S117="","",S117*3)</x:f>
        <x:v>64011000</x:v>
      </x:c>
      <x:c r="X117" s="25" t="n">
        <x:f>IF(OR(Z117="No",W117=""),"",V117-W117)</x:f>
        <x:v>487851460.5</x:v>
      </x:c>
      <x:c r="Y117" s="26" t="n">
        <x:f>IF(OR(Z117="No",W117=""),"",IFERROR(V117/W117,0))</x:f>
        <x:v>8.621369147490276</x:v>
      </x:c>
      <x:c r="Z117" s="27" t="str">
        <x:f>IF(AND(U117=TRUE,V117=0),"No","Yes")</x:f>
        <x:v>Yes</x:v>
      </x:c>
      <x:c r="AA117" s="27" t="str">
        <x:f>IF(Z117="No","Not comparable",IF(X117="","Unknown cost",IF(X117&gt;0,"Yes","No")))</x:f>
        <x:v>Yes</x:v>
      </x:c>
      <x:c r="AB117" s="20" t="str">
        <x:v>21.337M</x:v>
      </x:c>
    </x:row>
    <x:row r="118">
      <x:c r="A118" s="20" t="str">
        <x:v>s50-20261002-12</x:v>
      </x:c>
      <x:c r="B118" s="21" t="d">
        <x:v>2026-10-02T00:00:00.000Z</x:v>
      </x:c>
      <x:c r="C118" s="22" t="n">
        <x:v>50</x:v>
      </x:c>
      <x:c r="D118" s="20" t="str">
        <x:v>PTS scan card</x:v>
      </x:c>
      <x:c r="E118" s="20" t="str">
        <x:v>Small Alien Encounter</x:v>
      </x:c>
      <x:c r="F118" s="20" t="str">
        <x:v>PvE</x:v>
      </x:c>
      <x:c r="G118" s="23" t="n">
        <x:v>5</x:v>
      </x:c>
      <x:c r="H118" s="23" t="n">
        <x:v>707</x:v>
      </x:c>
      <x:c r="I118" s="23" t="str">
        <x:v>Combat</x:v>
      </x:c>
      <x:c r="J118" s="23" t="n">
        <x:v>2</x:v>
      </x:c>
      <x:c r="K118" s="23" t="n">
        <x:v>43</x:v>
      </x:c>
      <x:c r="L118" s="23" t="n">
        <x:v>3745</x:v>
      </x:c>
      <x:c r="M118" s="20" t="str">
        <x:v>possible</x:v>
      </x:c>
      <x:c r="N118" s="23" t="n">
        <x:v>0</x:v>
      </x:c>
      <x:c r="O118" s="23" t="n">
        <x:v>25522102</x:v>
      </x:c>
      <x:c r="P118" s="23" t="n">
        <x:v>0</x:v>
      </x:c>
      <x:c r="Q118" s="23" t="n">
        <x:v>0</x:v>
      </x:c>
      <x:c r="R118" s="24" t="b">
        <x:v>1</x:v>
      </x:c>
      <x:c r="S118" s="23" t="n">
        <x:v>13392000</x:v>
      </x:c>
      <x:c r="T118" s="24" t="b">
        <x:v>1</x:v>
      </x:c>
      <x:c r="U118" s="24" t="b">
        <x:v>1</x:v>
      </x:c>
      <x:c r="V118" s="25" t="n">
        <x:f>N118+1.5*O118+3*P118+3*Q118</x:f>
        <x:v>38283153</x:v>
      </x:c>
      <x:c r="W118" s="25" t="n">
        <x:f>IF(S118="","",S118*3)</x:f>
        <x:v>40176000</x:v>
      </x:c>
      <x:c r="X118" s="25" t="n">
        <x:f>IF(OR(Z118="No",W118=""),"",V118-W118)</x:f>
        <x:v>-1892847</x:v>
      </x:c>
      <x:c r="Y118" s="26" t="n">
        <x:f>IF(OR(Z118="No",W118=""),"",IFERROR(V118/W118,0))</x:f>
        <x:v>0.9528861260454002</x:v>
      </x:c>
      <x:c r="Z118" s="27" t="str">
        <x:f>IF(AND(U118=TRUE,V118=0),"No","Yes")</x:f>
        <x:v>Yes</x:v>
      </x:c>
      <x:c r="AA118" s="27" t="str">
        <x:f>IF(Z118="No","Not comparable",IF(X118="","Unknown cost",IF(X118&gt;0,"Yes","No")))</x:f>
        <x:v>No</x:v>
      </x:c>
      <x:c r="AB118" s="20" t="str">
        <x:v>13.392M</x:v>
      </x:c>
    </x:row>
    <x:row r="119">
      <x:c r="A119" s="20" t="str">
        <x:v>s150-20261002-01</x:v>
      </x:c>
      <x:c r="B119" s="21" t="d">
        <x:v>2026-10-02T00:00:00.000Z</x:v>
      </x:c>
      <x:c r="C119" s="22" t="n">
        <x:v>150</x:v>
      </x:c>
      <x:c r="D119" s="20" t="str">
        <x:v>PTS scan card</x:v>
      </x:c>
      <x:c r="E119" s="20" t="str">
        <x:v>Medium Alien Encounter</x:v>
      </x:c>
      <x:c r="F119" s="20" t="str">
        <x:v>PvP</x:v>
      </x:c>
      <x:c r="G119" s="23" t="n">
        <x:v>5</x:v>
      </x:c>
      <x:c r="H119" s="23" t="n">
        <x:v>531</x:v>
      </x:c>
      <x:c r="I119" s="23" t="str">
        <x:v>Combat</x:v>
      </x:c>
      <x:c r="J119" s="23" t="n">
        <x:v>1</x:v>
      </x:c>
      <x:c r="K119" s="23" t="n">
        <x:v>29</x:v>
      </x:c>
      <x:c r="L119" s="23" t="n">
        <x:v>10490</x:v>
      </x:c>
      <x:c r="M119" s="20" t="str">
        <x:v>possible</x:v>
      </x:c>
      <x:c r="N119" s="23" t="n">
        <x:v>80506442</x:v>
      </x:c>
      <x:c r="O119" s="23" t="n">
        <x:v>0</x:v>
      </x:c>
      <x:c r="P119" s="23" t="n">
        <x:v>0</x:v>
      </x:c>
      <x:c r="Q119" s="23" t="n">
        <x:v>0</x:v>
      </x:c>
      <x:c r="R119" s="24" t="b">
        <x:v>1</x:v>
      </x:c>
      <x:c r="S119" s="23" t="n">
        <x:v>5029000</x:v>
      </x:c>
      <x:c r="T119" s="24" t="b">
        <x:v>1</x:v>
      </x:c>
      <x:c r="U119" s="24" t="b">
        <x:v>1</x:v>
      </x:c>
      <x:c r="V119" s="25" t="n">
        <x:f>N119+1.5*O119+3*P119+3*Q119</x:f>
        <x:v>80506442</x:v>
      </x:c>
      <x:c r="W119" s="25" t="n">
        <x:f>IF(S119="","",S119*3)</x:f>
        <x:v>15087000</x:v>
      </x:c>
      <x:c r="X119" s="25" t="n">
        <x:f>IF(OR(Z119="No",W119=""),"",V119-W119)</x:f>
        <x:v>65419442</x:v>
      </x:c>
      <x:c r="Y119" s="26" t="n">
        <x:f>IF(OR(Z119="No",W119=""),"",IFERROR(V119/W119,0))</x:f>
        <x:v>5.336146483727712</x:v>
      </x:c>
      <x:c r="Z119" s="27" t="str">
        <x:f>IF(AND(U119=TRUE,V119=0),"No","Yes")</x:f>
        <x:v>Yes</x:v>
      </x:c>
      <x:c r="AA119" s="27" t="str">
        <x:f>IF(Z119="No","Not comparable",IF(X119="","Unknown cost",IF(X119&gt;0,"Yes","No")))</x:f>
        <x:v>Yes</x:v>
      </x:c>
      <x:c r="AB119" s="20" t="str">
        <x:v>5.029M</x:v>
      </x:c>
    </x:row>
    <x:row r="120">
      <x:c r="A120" s="20" t="str">
        <x:v>s150-20261002-02</x:v>
      </x:c>
      <x:c r="B120" s="21" t="d">
        <x:v>2026-10-02T00:00:00.000Z</x:v>
      </x:c>
      <x:c r="C120" s="22" t="n">
        <x:v>150</x:v>
      </x:c>
      <x:c r="D120" s="20" t="str">
        <x:v>PTS scan card</x:v>
      </x:c>
      <x:c r="E120" s="20" t="str">
        <x:v>Medium Pirate Encounter</x:v>
      </x:c>
      <x:c r="F120" s="20" t="str">
        <x:v>PvE</x:v>
      </x:c>
      <x:c r="G120" s="23" t="n">
        <x:v>3</x:v>
      </x:c>
      <x:c r="H120" s="23" t="n">
        <x:v>547</x:v>
      </x:c>
      <x:c r="I120" s="23" t="str">
        <x:v>Combat</x:v>
      </x:c>
      <x:c r="J120" s="23" t="n">
        <x:v>3</x:v>
      </x:c>
      <x:c r="K120" s="23" t="n">
        <x:v>85</x:v>
      </x:c>
      <x:c r="L120" s="23" t="n">
        <x:v>12200</x:v>
      </x:c>
      <x:c r="M120" s="20" t="str">
        <x:v>possible</x:v>
      </x:c>
      <x:c r="N120" s="23" t="n">
        <x:v>0</x:v>
      </x:c>
      <x:c r="O120" s="23" t="n">
        <x:v>0</x:v>
      </x:c>
      <x:c r="P120" s="23" t="n">
        <x:v>0</x:v>
      </x:c>
      <x:c r="Q120" s="23" t="n">
        <x:v>0</x:v>
      </x:c>
      <x:c r="R120" s="24" t="b">
        <x:v>1</x:v>
      </x:c>
      <x:c r="S120" s="23" t="n">
        <x:v>9325000</x:v>
      </x:c>
      <x:c r="T120" s="24" t="b">
        <x:v>1</x:v>
      </x:c>
      <x:c r="U120" s="24" t="b">
        <x:v>1</x:v>
      </x:c>
      <x:c r="V120" s="25" t="n">
        <x:f>N120+1.5*O120+3*P120+3*Q120</x:f>
        <x:v>0</x:v>
      </x:c>
      <x:c r="W120" s="25" t="n">
        <x:f>IF(S120="","",S120*3)</x:f>
        <x:v>27975000</x:v>
      </x:c>
      <x:c r="X120" s="25" t="str">
        <x:f>IF(OR(Z120="No",W120=""),"",V120-W120)</x:f>
      </x:c>
      <x:c r="Y120" s="26" t="str">
        <x:f>IF(OR(Z120="No",W120=""),"",IFERROR(V120/W120,0))</x:f>
      </x:c>
      <x:c r="Z120" s="27" t="str">
        <x:f>IF(AND(U120=TRUE,V120=0),"No","Yes")</x:f>
        <x:v>No</x:v>
      </x:c>
      <x:c r="AA120" s="27" t="str">
        <x:f>IF(Z120="No","Not comparable",IF(X120="","Unknown cost",IF(X120&gt;0,"Yes","No")))</x:f>
        <x:v>Not comparable</x:v>
      </x:c>
      <x:c r="AB120" s="20" t="str">
        <x:v>9.325M</x:v>
      </x:c>
    </x:row>
    <x:row r="121">
      <x:c r="A121" s="20" t="str">
        <x:v>s150-20261002-03</x:v>
      </x:c>
      <x:c r="B121" s="21" t="d">
        <x:v>2026-10-02T00:00:00.000Z</x:v>
      </x:c>
      <x:c r="C121" s="22" t="n">
        <x:v>150</x:v>
      </x:c>
      <x:c r="D121" s="20" t="str">
        <x:v>PTS scan card</x:v>
      </x:c>
      <x:c r="E121" s="20" t="str">
        <x:v>Medium Pirate Encounter</x:v>
      </x:c>
      <x:c r="F121" s="20" t="str">
        <x:v>PvE</x:v>
      </x:c>
      <x:c r="G121" s="23" t="n">
        <x:v>1</x:v>
      </x:c>
      <x:c r="H121" s="23" t="n">
        <x:v>694</x:v>
      </x:c>
      <x:c r="I121" s="23" t="str">
        <x:v>Combat</x:v>
      </x:c>
      <x:c r="J121" s="23" t="n">
        <x:v>2</x:v>
      </x:c>
      <x:c r="K121" s="23" t="n">
        <x:v>51</x:v>
      </x:c>
      <x:c r="L121" s="23" t="n">
        <x:v>7545</x:v>
      </x:c>
      <x:c r="M121" s="20" t="str">
        <x:v>possible</x:v>
      </x:c>
      <x:c r="N121" s="23" t="n">
        <x:v>8665123</x:v>
      </x:c>
      <x:c r="O121" s="23" t="n">
        <x:v>0</x:v>
      </x:c>
      <x:c r="P121" s="23" t="n">
        <x:v>0</x:v>
      </x:c>
      <x:c r="Q121" s="23" t="n">
        <x:v>0</x:v>
      </x:c>
      <x:c r="R121" s="24" t="b">
        <x:v>1</x:v>
      </x:c>
      <x:c r="S121" s="23" t="n">
        <x:v>2629000</x:v>
      </x:c>
      <x:c r="T121" s="24" t="b">
        <x:v>1</x:v>
      </x:c>
      <x:c r="U121" s="24" t="b">
        <x:v>1</x:v>
      </x:c>
      <x:c r="V121" s="25" t="n">
        <x:f>N121+1.5*O121+3*P121+3*Q121</x:f>
        <x:v>8665123</x:v>
      </x:c>
      <x:c r="W121" s="25" t="n">
        <x:f>IF(S121="","",S121*3)</x:f>
        <x:v>7887000</x:v>
      </x:c>
      <x:c r="X121" s="25" t="n">
        <x:f>IF(OR(Z121="No",W121=""),"",V121-W121)</x:f>
        <x:v>778123</x:v>
      </x:c>
      <x:c r="Y121" s="26" t="n">
        <x:f>IF(OR(Z121="No",W121=""),"",IFERROR(V121/W121,0))</x:f>
        <x:v>1.0986589324204388</x:v>
      </x:c>
      <x:c r="Z121" s="27" t="str">
        <x:f>IF(AND(U121=TRUE,V121=0),"No","Yes")</x:f>
        <x:v>Yes</x:v>
      </x:c>
      <x:c r="AA121" s="27" t="str">
        <x:f>IF(Z121="No","Not comparable",IF(X121="","Unknown cost",IF(X121&gt;0,"Yes","No")))</x:f>
        <x:v>Yes</x:v>
      </x:c>
      <x:c r="AB121" s="20" t="str">
        <x:v>2.629M</x:v>
      </x:c>
    </x:row>
    <x:row r="122">
      <x:c r="A122" s="20" t="str">
        <x:v>s150-20261002-04</x:v>
      </x:c>
      <x:c r="B122" s="21" t="d">
        <x:v>2026-10-02T00:00:00.000Z</x:v>
      </x:c>
      <x:c r="C122" s="22" t="n">
        <x:v>150</x:v>
      </x:c>
      <x:c r="D122" s="20" t="str">
        <x:v>PTS scan card</x:v>
      </x:c>
      <x:c r="E122" s="20" t="str">
        <x:v>Delivery: Metal</x:v>
      </x:c>
      <x:c r="F122" s="20" t="str">
        <x:v>PvE</x:v>
      </x:c>
      <x:c r="G122" s="23" t="n">
        <x:v>3</x:v>
      </x:c>
      <x:c r="H122" s="23" t="n">
        <x:v>524</x:v>
      </x:c>
      <x:c r="I122" s="23" t="str">
        <x:v>Delivery</x:v>
      </x:c>
      <x:c r="J122" s="23" t="n">
        <x:v>4</x:v>
      </x:c>
      <x:c r="K122" s="23" t="n">
        <x:v>141</x:v>
      </x:c>
      <x:c r="L122" s="23" t="n">
        <x:v>8210</x:v>
      </x:c>
      <x:c r="M122" s="20" t="str">
        <x:v>possible</x:v>
      </x:c>
      <x:c r="N122" s="23" t="n">
        <x:v>75706564</x:v>
      </x:c>
      <x:c r="O122" s="23" t="n">
        <x:v>0</x:v>
      </x:c>
      <x:c r="P122" s="23" t="n">
        <x:v>0</x:v>
      </x:c>
      <x:c r="Q122" s="23" t="n">
        <x:v>0</x:v>
      </x:c>
      <x:c r="R122" s="24" t="b">
        <x:v>1</x:v>
      </x:c>
      <x:c r="S122" s="23" t="n">
        <x:v>11911000</x:v>
      </x:c>
      <x:c r="T122" s="24" t="b">
        <x:v>1</x:v>
      </x:c>
      <x:c r="U122" s="24" t="b">
        <x:v>1</x:v>
      </x:c>
      <x:c r="V122" s="25" t="n">
        <x:f>N122+1.5*O122+3*P122+3*Q122</x:f>
        <x:v>75706564</x:v>
      </x:c>
      <x:c r="W122" s="25" t="n">
        <x:f>IF(S122="","",S122*3)</x:f>
        <x:v>35733000</x:v>
      </x:c>
      <x:c r="X122" s="25" t="n">
        <x:f>IF(OR(Z122="No",W122=""),"",V122-W122)</x:f>
        <x:v>39973564</x:v>
      </x:c>
      <x:c r="Y122" s="26" t="n">
        <x:f>IF(OR(Z122="No",W122=""),"",IFERROR(V122/W122,0))</x:f>
        <x:v>2.1186736070299164</x:v>
      </x:c>
      <x:c r="Z122" s="27" t="str">
        <x:f>IF(AND(U122=TRUE,V122=0),"No","Yes")</x:f>
        <x:v>Yes</x:v>
      </x:c>
      <x:c r="AA122" s="27" t="str">
        <x:f>IF(Z122="No","Not comparable",IF(X122="","Unknown cost",IF(X122&gt;0,"Yes","No")))</x:f>
        <x:v>Yes</x:v>
      </x:c>
      <x:c r="AB122" s="20" t="str">
        <x:v>11.911M</x:v>
      </x:c>
    </x:row>
    <x:row r="123">
      <x:c r="A123" s="20" t="str">
        <x:v>s150-20261002-05</x:v>
      </x:c>
      <x:c r="B123" s="21" t="d">
        <x:v>2026-10-02T00:00:00.000Z</x:v>
      </x:c>
      <x:c r="C123" s="22" t="n">
        <x:v>150</x:v>
      </x:c>
      <x:c r="D123" s="20" t="str">
        <x:v>PTS scan card</x:v>
      </x:c>
      <x:c r="E123" s="20" t="str">
        <x:v>Resource: Deuterium</x:v>
      </x:c>
      <x:c r="F123" s="20" t="str">
        <x:v>PvP</x:v>
      </x:c>
      <x:c r="G123" s="23" t="n">
        <x:v>2</x:v>
      </x:c>
      <x:c r="H123" s="23" t="n">
        <x:v>724</x:v>
      </x:c>
      <x:c r="I123" s="23" t="str">
        <x:v>Combat</x:v>
      </x:c>
      <x:c r="J123" s="23" t="n">
        <x:v>4</x:v>
      </x:c>
      <x:c r="K123" s="23" t="n">
        <x:v>101</x:v>
      </x:c>
      <x:c r="L123" s="23" t="n">
        <x:v>3935</x:v>
      </x:c>
      <x:c r="M123" s="20" t="str">
        <x:v>possible</x:v>
      </x:c>
      <x:c r="N123" s="23" t="n">
        <x:v>0</x:v>
      </x:c>
      <x:c r="O123" s="23" t="n">
        <x:v>0</x:v>
      </x:c>
      <x:c r="P123" s="23" t="n">
        <x:v>81703872</x:v>
      </x:c>
      <x:c r="Q123" s="23" t="n">
        <x:v>0</x:v>
      </x:c>
      <x:c r="R123" s="24" t="b">
        <x:v>1</x:v>
      </x:c>
      <x:c r="S123" s="23" t="n">
        <x:v>10971000</x:v>
      </x:c>
      <x:c r="T123" s="24" t="b">
        <x:v>1</x:v>
      </x:c>
      <x:c r="U123" s="24" t="b">
        <x:v>1</x:v>
      </x:c>
      <x:c r="V123" s="25" t="n">
        <x:f>N123+1.5*O123+3*P123+3*Q123</x:f>
        <x:v>245111616</x:v>
      </x:c>
      <x:c r="W123" s="25" t="n">
        <x:f>IF(S123="","",S123*3)</x:f>
        <x:v>32913000</x:v>
      </x:c>
      <x:c r="X123" s="25" t="n">
        <x:f>IF(OR(Z123="No",W123=""),"",V123-W123)</x:f>
        <x:v>212198616</x:v>
      </x:c>
      <x:c r="Y123" s="26" t="n">
        <x:f>IF(OR(Z123="No",W123=""),"",IFERROR(V123/W123,0))</x:f>
        <x:v>7.447258408531583</x:v>
      </x:c>
      <x:c r="Z123" s="27" t="str">
        <x:f>IF(AND(U123=TRUE,V123=0),"No","Yes")</x:f>
        <x:v>Yes</x:v>
      </x:c>
      <x:c r="AA123" s="27" t="str">
        <x:f>IF(Z123="No","Not comparable",IF(X123="","Unknown cost",IF(X123&gt;0,"Yes","No")))</x:f>
        <x:v>Yes</x:v>
      </x:c>
      <x:c r="AB123" s="20" t="str">
        <x:v>10.971M</x:v>
      </x:c>
    </x:row>
    <x:row r="124">
      <x:c r="A124" s="20" t="str">
        <x:v>s150-20261002-06</x:v>
      </x:c>
      <x:c r="B124" s="21" t="d">
        <x:v>2026-10-02T00:00:00.000Z</x:v>
      </x:c>
      <x:c r="C124" s="22" t="n">
        <x:v>150</x:v>
      </x:c>
      <x:c r="D124" s="20" t="str">
        <x:v>PTS scan card</x:v>
      </x:c>
      <x:c r="E124" s="20" t="str">
        <x:v>Resource: Deuterium</x:v>
      </x:c>
      <x:c r="F124" s="20" t="str">
        <x:v>PvE</x:v>
      </x:c>
      <x:c r="G124" s="23" t="n">
        <x:v>4</x:v>
      </x:c>
      <x:c r="H124" s="23" t="n">
        <x:v>632</x:v>
      </x:c>
      <x:c r="I124" s="23" t="str">
        <x:v>Combat</x:v>
      </x:c>
      <x:c r="J124" s="23" t="n">
        <x:v>7</x:v>
      </x:c>
      <x:c r="K124" s="23" t="n">
        <x:v>187</x:v>
      </x:c>
      <x:c r="L124" s="23" t="n">
        <x:v>15620</x:v>
      </x:c>
      <x:c r="M124" s="20" t="str">
        <x:v>possible</x:v>
      </x:c>
      <x:c r="N124" s="23" t="n">
        <x:v>0</x:v>
      </x:c>
      <x:c r="O124" s="23" t="n">
        <x:v>0</x:v>
      </x:c>
      <x:c r="P124" s="23" t="n">
        <x:v>98810124</x:v>
      </x:c>
      <x:c r="Q124" s="23" t="n">
        <x:v>0</x:v>
      </x:c>
      <x:c r="R124" s="24" t="b">
        <x:v>1</x:v>
      </x:c>
      <x:c r="S124" s="23" t="n">
        <x:v>33521000</x:v>
      </x:c>
      <x:c r="T124" s="24" t="b">
        <x:v>1</x:v>
      </x:c>
      <x:c r="U124" s="24" t="b">
        <x:v>1</x:v>
      </x:c>
      <x:c r="V124" s="25" t="n">
        <x:f>N124+1.5*O124+3*P124+3*Q124</x:f>
        <x:v>296430372</x:v>
      </x:c>
      <x:c r="W124" s="25" t="n">
        <x:f>IF(S124="","",S124*3)</x:f>
        <x:v>100563000</x:v>
      </x:c>
      <x:c r="X124" s="25" t="n">
        <x:f>IF(OR(Z124="No",W124=""),"",V124-W124)</x:f>
        <x:v>195867372</x:v>
      </x:c>
      <x:c r="Y124" s="26" t="n">
        <x:f>IF(OR(Z124="No",W124=""),"",IFERROR(V124/W124,0))</x:f>
        <x:v>2.9477081232660125</x:v>
      </x:c>
      <x:c r="Z124" s="27" t="str">
        <x:f>IF(AND(U124=TRUE,V124=0),"No","Yes")</x:f>
        <x:v>Yes</x:v>
      </x:c>
      <x:c r="AA124" s="27" t="str">
        <x:f>IF(Z124="No","Not comparable",IF(X124="","Unknown cost",IF(X124&gt;0,"Yes","No")))</x:f>
        <x:v>Yes</x:v>
      </x:c>
      <x:c r="AB124" s="20" t="str">
        <x:v>33.521M</x:v>
      </x:c>
    </x:row>
    <x:row r="125">
      <x:c r="A125" s="20" t="str">
        <x:v>s150-20261002-07</x:v>
      </x:c>
      <x:c r="B125" s="21" t="d">
        <x:v>2026-10-02T00:00:00.000Z</x:v>
      </x:c>
      <x:c r="C125" s="22" t="n">
        <x:v>150</x:v>
      </x:c>
      <x:c r="D125" s="20" t="str">
        <x:v>PTS scan card</x:v>
      </x:c>
      <x:c r="E125" s="20" t="str">
        <x:v>Resource: Crystal</x:v>
      </x:c>
      <x:c r="F125" s="20" t="str">
        <x:v>PvP</x:v>
      </x:c>
      <x:c r="G125" s="23" t="n">
        <x:v>2</x:v>
      </x:c>
      <x:c r="H125" s="23" t="n">
        <x:v>585</x:v>
      </x:c>
      <x:c r="I125" s="23" t="str">
        <x:v>Combat</x:v>
      </x:c>
      <x:c r="J125" s="23" t="n">
        <x:v>7</x:v>
      </x:c>
      <x:c r="K125" s="23" t="n">
        <x:v>193</x:v>
      </x:c>
      <x:c r="L125" s="23" t="n">
        <x:v>12200</x:v>
      </x:c>
      <x:c r="M125" s="20" t="str">
        <x:v>possible</x:v>
      </x:c>
      <x:c r="N125" s="23" t="n">
        <x:v>0</x:v>
      </x:c>
      <x:c r="O125" s="23" t="n">
        <x:v>187246339</x:v>
      </x:c>
      <x:c r="P125" s="23" t="n">
        <x:v>0</x:v>
      </x:c>
      <x:c r="Q125" s="23" t="n">
        <x:v>0</x:v>
      </x:c>
      <x:c r="R125" s="24" t="b">
        <x:v>1</x:v>
      </x:c>
      <x:c r="S125" s="23" t="n">
        <x:v>15514000</x:v>
      </x:c>
      <x:c r="T125" s="24" t="b">
        <x:v>1</x:v>
      </x:c>
      <x:c r="U125" s="24" t="b">
        <x:v>1</x:v>
      </x:c>
      <x:c r="V125" s="25" t="n">
        <x:f>N125+1.5*O125+3*P125+3*Q125</x:f>
        <x:v>280869508.5</x:v>
      </x:c>
      <x:c r="W125" s="25" t="n">
        <x:f>IF(S125="","",S125*3)</x:f>
        <x:v>46542000</x:v>
      </x:c>
      <x:c r="X125" s="25" t="n">
        <x:f>IF(OR(Z125="No",W125=""),"",V125-W125)</x:f>
        <x:v>234327508.5</x:v>
      </x:c>
      <x:c r="Y125" s="26" t="n">
        <x:f>IF(OR(Z125="No",W125=""),"",IFERROR(V125/W125,0))</x:f>
        <x:v>6.034753738558721</x:v>
      </x:c>
      <x:c r="Z125" s="27" t="str">
        <x:f>IF(AND(U125=TRUE,V125=0),"No","Yes")</x:f>
        <x:v>Yes</x:v>
      </x:c>
      <x:c r="AA125" s="27" t="str">
        <x:f>IF(Z125="No","Not comparable",IF(X125="","Unknown cost",IF(X125&gt;0,"Yes","No")))</x:f>
        <x:v>Yes</x:v>
      </x:c>
      <x:c r="AB125" s="20" t="str">
        <x:v>15.514M</x:v>
      </x:c>
    </x:row>
    <x:row r="126">
      <x:c r="A126" s="20" t="str">
        <x:v>s150-20261002-08</x:v>
      </x:c>
      <x:c r="B126" s="21" t="d">
        <x:v>2026-10-02T00:00:00.000Z</x:v>
      </x:c>
      <x:c r="C126" s="22" t="n">
        <x:v>150</x:v>
      </x:c>
      <x:c r="D126" s="20" t="str">
        <x:v>PTS scan card</x:v>
      </x:c>
      <x:c r="E126" s="20" t="str">
        <x:v>Rescue</x:v>
      </x:c>
      <x:c r="F126" s="20" t="str">
        <x:v>PvE</x:v>
      </x:c>
      <x:c r="G126" s="23" t="n">
        <x:v>1</x:v>
      </x:c>
      <x:c r="H126" s="23" t="n">
        <x:v>634</x:v>
      </x:c>
      <x:c r="I126" s="23" t="str">
        <x:v>Combat</x:v>
      </x:c>
      <x:c r="J126" s="23" t="n">
        <x:v>1</x:v>
      </x:c>
      <x:c r="K126" s="23" t="n">
        <x:v>30</x:v>
      </x:c>
      <x:c r="L126" s="23" t="n">
        <x:v>11630</x:v>
      </x:c>
      <x:c r="M126" s="20" t="str">
        <x:v>possible</x:v>
      </x:c>
      <x:c r="N126" s="23" t="n">
        <x:v>0</x:v>
      </x:c>
      <x:c r="O126" s="23" t="n">
        <x:v>0</x:v>
      </x:c>
      <x:c r="P126" s="23" t="n">
        <x:v>0</x:v>
      </x:c>
      <x:c r="Q126" s="23" t="n">
        <x:v>0</x:v>
      </x:c>
      <x:c r="R126" s="24" t="b">
        <x:v>1</x:v>
      </x:c>
      <x:c r="S126" s="23" t="n">
        <x:v>1200000</x:v>
      </x:c>
      <x:c r="T126" s="24" t="b">
        <x:v>1</x:v>
      </x:c>
      <x:c r="U126" s="24" t="b">
        <x:v>1</x:v>
      </x:c>
      <x:c r="V126" s="25" t="n">
        <x:f>N126+1.5*O126+3*P126+3*Q126</x:f>
        <x:v>0</x:v>
      </x:c>
      <x:c r="W126" s="25" t="n">
        <x:f>IF(S126="","",S126*3)</x:f>
        <x:v>3600000</x:v>
      </x:c>
      <x:c r="X126" s="25" t="str">
        <x:f>IF(OR(Z126="No",W126=""),"",V126-W126)</x:f>
      </x:c>
      <x:c r="Y126" s="26" t="str">
        <x:f>IF(OR(Z126="No",W126=""),"",IFERROR(V126/W126,0))</x:f>
      </x:c>
      <x:c r="Z126" s="27" t="str">
        <x:f>IF(AND(U126=TRUE,V126=0),"No","Yes")</x:f>
        <x:v>No</x:v>
      </x:c>
      <x:c r="AA126" s="27" t="str">
        <x:f>IF(Z126="No","Not comparable",IF(X126="","Unknown cost",IF(X126&gt;0,"Yes","No")))</x:f>
        <x:v>Not comparable</x:v>
      </x:c>
      <x:c r="AB126" s="20" t="str">
        <x:v>1.2M</x:v>
      </x:c>
    </x:row>
    <x:row r="127">
      <x:c r="A127" s="20" t="str">
        <x:v>s150-20261002-09</x:v>
      </x:c>
      <x:c r="B127" s="21" t="d">
        <x:v>2026-10-02T00:00:00.000Z</x:v>
      </x:c>
      <x:c r="C127" s="22" t="n">
        <x:v>150</x:v>
      </x:c>
      <x:c r="D127" s="20" t="str">
        <x:v>PTS scan card</x:v>
      </x:c>
      <x:c r="E127" s="20" t="str">
        <x:v>Small Alien Encounter</x:v>
      </x:c>
      <x:c r="F127" s="20" t="str">
        <x:v>PvE</x:v>
      </x:c>
      <x:c r="G127" s="23" t="n">
        <x:v>1</x:v>
      </x:c>
      <x:c r="H127" s="23" t="n">
        <x:v>713</x:v>
      </x:c>
      <x:c r="I127" s="23" t="str">
        <x:v>Combat</x:v>
      </x:c>
      <x:c r="J127" s="23" t="n">
        <x:v>3</x:v>
      </x:c>
      <x:c r="K127" s="23" t="n">
        <x:v>80</x:v>
      </x:c>
      <x:c r="L127" s="23" t="n">
        <x:v>80000</x:v>
      </x:c>
      <x:c r="M127" s="20" t="str">
        <x:v>possible</x:v>
      </x:c>
      <x:c r="N127" s="23" t="n">
        <x:v>0</x:v>
      </x:c>
      <x:c r="O127" s="23" t="n">
        <x:v>3891882</x:v>
      </x:c>
      <x:c r="P127" s="23" t="n">
        <x:v>2534693</x:v>
      </x:c>
      <x:c r="Q127" s="23" t="n">
        <x:v>0</x:v>
      </x:c>
      <x:c r="R127" s="24" t="b">
        <x:v>1</x:v>
      </x:c>
      <x:c r="S127" s="23" t="n">
        <x:v>3005000</x:v>
      </x:c>
      <x:c r="T127" s="24" t="b">
        <x:v>1</x:v>
      </x:c>
      <x:c r="U127" s="24" t="b">
        <x:v>1</x:v>
      </x:c>
      <x:c r="V127" s="25" t="n">
        <x:f>N127+1.5*O127+3*P127+3*Q127</x:f>
        <x:v>13441902</x:v>
      </x:c>
      <x:c r="W127" s="25" t="n">
        <x:f>IF(S127="","",S127*3)</x:f>
        <x:v>9015000</x:v>
      </x:c>
      <x:c r="X127" s="25" t="n">
        <x:f>IF(OR(Z127="No",W127=""),"",V127-W127)</x:f>
        <x:v>4426902</x:v>
      </x:c>
      <x:c r="Y127" s="26" t="n">
        <x:f>IF(OR(Z127="No",W127=""),"",IFERROR(V127/W127,0))</x:f>
        <x:v>1.4910595673876872</x:v>
      </x:c>
      <x:c r="Z127" s="27" t="str">
        <x:f>IF(AND(U127=TRUE,V127=0),"No","Yes")</x:f>
        <x:v>Yes</x:v>
      </x:c>
      <x:c r="AA127" s="27" t="str">
        <x:f>IF(Z127="No","Not comparable",IF(X127="","Unknown cost",IF(X127&gt;0,"Yes","No")))</x:f>
        <x:v>Yes</x:v>
      </x:c>
      <x:c r="AB127" s="20" t="str">
        <x:v>3.005M</x:v>
      </x:c>
    </x:row>
    <x:row r="128">
      <x:c r="A128" s="20" t="str">
        <x:v>s150-20261002-10</x:v>
      </x:c>
      <x:c r="B128" s="21" t="d">
        <x:v>2026-10-02T00:00:00.000Z</x:v>
      </x:c>
      <x:c r="C128" s="22" t="n">
        <x:v>150</x:v>
      </x:c>
      <x:c r="D128" s="20" t="str">
        <x:v>PTS scan card</x:v>
      </x:c>
      <x:c r="E128" s="20" t="str">
        <x:v>Alien Encounter</x:v>
      </x:c>
      <x:c r="F128" s="20" t="str">
        <x:v>PvP</x:v>
      </x:c>
      <x:c r="G128" s="23" t="n">
        <x:v>2</x:v>
      </x:c>
      <x:c r="H128" s="23" t="n">
        <x:v>518</x:v>
      </x:c>
      <x:c r="I128" s="23" t="str">
        <x:v>Combat</x:v>
      </x:c>
      <x:c r="J128" s="23" t="n">
        <x:v>4</x:v>
      </x:c>
      <x:c r="K128" s="23" t="n">
        <x:v>114</x:v>
      </x:c>
      <x:c r="L128" s="23" t="n">
        <x:v>80000</x:v>
      </x:c>
      <x:c r="M128" s="20" t="str">
        <x:v>possible</x:v>
      </x:c>
      <x:c r="N128" s="23" t="n">
        <x:v>34162460</x:v>
      </x:c>
      <x:c r="O128" s="23" t="n">
        <x:v>15210784</x:v>
      </x:c>
      <x:c r="P128" s="23" t="n">
        <x:v>35122812</x:v>
      </x:c>
      <x:c r="Q128" s="23" t="n">
        <x:v>0</x:v>
      </x:c>
      <x:c r="R128" s="24" t="b">
        <x:v>1</x:v>
      </x:c>
      <x:c r="S128" s="23" t="n">
        <x:v>5822000</x:v>
      </x:c>
      <x:c r="T128" s="24" t="b">
        <x:v>1</x:v>
      </x:c>
      <x:c r="U128" s="24" t="b">
        <x:v>1</x:v>
      </x:c>
      <x:c r="V128" s="25" t="n">
        <x:f>N128+1.5*O128+3*P128+3*Q128</x:f>
        <x:v>162347072</x:v>
      </x:c>
      <x:c r="W128" s="25" t="n">
        <x:f>IF(S128="","",S128*3)</x:f>
        <x:v>17466000</x:v>
      </x:c>
      <x:c r="X128" s="25" t="n">
        <x:f>IF(OR(Z128="No",W128=""),"",V128-W128)</x:f>
        <x:v>144881072</x:v>
      </x:c>
      <x:c r="Y128" s="26" t="n">
        <x:f>IF(OR(Z128="No",W128=""),"",IFERROR(V128/W128,0))</x:f>
        <x:v>9.295034466964388</x:v>
      </x:c>
      <x:c r="Z128" s="27" t="str">
        <x:f>IF(AND(U128=TRUE,V128=0),"No","Yes")</x:f>
        <x:v>Yes</x:v>
      </x:c>
      <x:c r="AA128" s="27" t="str">
        <x:f>IF(Z128="No","Not comparable",IF(X128="","Unknown cost",IF(X128&gt;0,"Yes","No")))</x:f>
        <x:v>Yes</x:v>
      </x:c>
      <x:c r="AB128" s="20" t="str">
        <x:v>5.822M</x:v>
      </x:c>
    </x:row>
    <x:row r="129">
      <x:c r="A129" s="20" t="str">
        <x:v>s150-20261002-11</x:v>
      </x:c>
      <x:c r="B129" s="21" t="d">
        <x:v>2026-10-02T00:00:00.000Z</x:v>
      </x:c>
      <x:c r="C129" s="22" t="n">
        <x:v>150</x:v>
      </x:c>
      <x:c r="D129" s="20" t="str">
        <x:v>PTS scan card</x:v>
      </x:c>
      <x:c r="E129" s="20" t="str">
        <x:v>Delivery: Metal</x:v>
      </x:c>
      <x:c r="F129" s="20" t="str">
        <x:v>PvE</x:v>
      </x:c>
      <x:c r="G129" s="23" t="n">
        <x:v>2</x:v>
      </x:c>
      <x:c r="H129" s="23" t="n">
        <x:v>496</x:v>
      </x:c>
      <x:c r="I129" s="23" t="str">
        <x:v>Delivery</x:v>
      </x:c>
      <x:c r="J129" s="23" t="n">
        <x:v>1</x:v>
      </x:c>
      <x:c r="K129" s="23" t="n">
        <x:v>36</x:v>
      </x:c>
      <x:c r="L129" s="23" t="n">
        <x:v>80000</x:v>
      </x:c>
      <x:c r="M129" s="20" t="str">
        <x:v>possible</x:v>
      </x:c>
      <x:c r="N129" s="23" t="n">
        <x:v>8367185</x:v>
      </x:c>
      <x:c r="O129" s="23" t="n">
        <x:v>0</x:v>
      </x:c>
      <x:c r="P129" s="23" t="n">
        <x:v>0</x:v>
      </x:c>
      <x:c r="Q129" s="23" t="n">
        <x:v>0</x:v>
      </x:c>
      <x:c r="R129" s="24" t="b">
        <x:v>1</x:v>
      </x:c>
      <x:c r="S129" s="23" t="n">
        <x:v>1393000</x:v>
      </x:c>
      <x:c r="T129" s="24" t="b">
        <x:v>1</x:v>
      </x:c>
      <x:c r="U129" s="24" t="b">
        <x:v>1</x:v>
      </x:c>
      <x:c r="V129" s="25" t="n">
        <x:f>N129+1.5*O129+3*P129+3*Q129</x:f>
        <x:v>8367185</x:v>
      </x:c>
      <x:c r="W129" s="25" t="n">
        <x:f>IF(S129="","",S129*3)</x:f>
        <x:v>4179000</x:v>
      </x:c>
      <x:c r="X129" s="25" t="n">
        <x:f>IF(OR(Z129="No",W129=""),"",V129-W129)</x:f>
        <x:v>4188185</x:v>
      </x:c>
      <x:c r="Y129" s="26" t="n">
        <x:f>IF(OR(Z129="No",W129=""),"",IFERROR(V129/W129,0))</x:f>
        <x:v>2.00219789423307</x:v>
      </x:c>
      <x:c r="Z129" s="27" t="str">
        <x:f>IF(AND(U129=TRUE,V129=0),"No","Yes")</x:f>
        <x:v>Yes</x:v>
      </x:c>
      <x:c r="AA129" s="27" t="str">
        <x:f>IF(Z129="No","Not comparable",IF(X129="","Unknown cost",IF(X129&gt;0,"Yes","No")))</x:f>
        <x:v>Yes</x:v>
      </x:c>
      <x:c r="AB129" s="20" t="str">
        <x:v>1.393M</x:v>
      </x:c>
    </x:row>
    <x:row r="130">
      <x:c r="A130" s="20" t="str">
        <x:v>delivery-metal-626-pve-4star-collected</x:v>
      </x:c>
      <x:c r="B130" s="21" t="d">
        <x:v>2026-10-01T00:00:00.000Z</x:v>
      </x:c>
      <x:c r="C130" s="22" t="str">
        <x:v>Unknown</x:v>
      </x:c>
      <x:c r="D130" s="20" t="str">
        <x:v>PTS reward claim dialog</x:v>
      </x:c>
      <x:c r="E130" s="20" t="str">
        <x:v>Delivery: Metal</x:v>
      </x:c>
      <x:c r="F130" s="20" t="str">
        <x:v>PvE</x:v>
      </x:c>
      <x:c r="G130" s="23" t="n">
        <x:v>4</x:v>
      </x:c>
      <x:c r="H130" s="23" t="n">
        <x:v>626</x:v>
      </x:c>
      <x:c r="I130" s="23" t="str">
        <x:v>Delivery</x:v>
      </x:c>
      <x:c r="J130" s="23" t="n">
        <x:v>4</x:v>
      </x:c>
      <x:c r="K130" s="23" t="n">
        <x:v>90</x:v>
      </x:c>
      <x:c r="L130" s="23" t="n">
        <x:v>3555</x:v>
      </x:c>
      <x:c r="M130" s="20" t="str">
        <x:v>collected</x:v>
      </x:c>
      <x:c r="N130" s="23" t="n">
        <x:v>59634076</x:v>
      </x:c>
      <x:c r="O130" s="23" t="n">
        <x:v>0</x:v>
      </x:c>
      <x:c r="P130" s="23" t="n">
        <x:v>0</x:v>
      </x:c>
      <x:c r="Q130" s="23" t="n">
        <x:v>0</x:v>
      </x:c>
      <x:c r="R130" s="24" t="b">
        <x:v>0</x:v>
      </x:c>
      <x:c r="S130" s="23" t="n">
        <x:v>14073696</x:v>
      </x:c>
      <x:c r="T130" s="24" t="b">
        <x:v>0</x:v>
      </x:c>
      <x:c r="U130" s="24" t="b">
        <x:v>0</x:v>
      </x:c>
      <x:c r="V130" s="25" t="n">
        <x:f>N130+1.5*O130+3*P130+3*Q130</x:f>
        <x:v>59634076</x:v>
      </x:c>
      <x:c r="W130" s="25" t="n">
        <x:f>IF(S130="","",S130*3)</x:f>
        <x:v>42221088</x:v>
      </x:c>
      <x:c r="X130" s="25" t="n">
        <x:f>IF(OR(Z130="No",W130=""),"",V130-W130)</x:f>
        <x:v>17412988</x:v>
      </x:c>
      <x:c r="Y130" s="26" t="n">
        <x:f>IF(OR(Z130="No",W130=""),"",IFERROR(V130/W130,0))</x:f>
        <x:v>1.4124239526939713</x:v>
      </x:c>
      <x:c r="Z130" s="27" t="str">
        <x:f>IF(AND(U130=TRUE,V130=0),"No","Yes")</x:f>
        <x:v>Yes</x:v>
      </x:c>
      <x:c r="AA130" s="27" t="str">
        <x:f>IF(Z130="No","Not comparable",IF(X130="","Unknown cost",IF(X130&gt;0,"Yes","No")))</x:f>
        <x:v>Yes</x:v>
      </x:c>
      <x:c r="AB130" s="20" t="str">
        <x:v>14,073,696</x:v>
      </x:c>
    </x:row>
    <x:row r="131">
      <x:c r="A131" s="20" t="str">
        <x:v>s150-20261003-01</x:v>
      </x:c>
      <x:c r="B131" s="21" t="d">
        <x:v>2026-10-03T00:00:00.000Z</x:v>
      </x:c>
      <x:c r="C131" s="22" t="n">
        <x:v>150</x:v>
      </x:c>
      <x:c r="D131" s="20" t="str">
        <x:v>PTS scan card</x:v>
      </x:c>
      <x:c r="E131" s="20" t="str">
        <x:v>Small Alien Encounter</x:v>
      </x:c>
      <x:c r="F131" s="20" t="str">
        <x:v>PvE</x:v>
      </x:c>
      <x:c r="G131" s="23" t="n">
        <x:v>1</x:v>
      </x:c>
      <x:c r="H131" s="23" t="n">
        <x:v>496</x:v>
      </x:c>
      <x:c r="I131" s="23" t="str">
        <x:v>Combat</x:v>
      </x:c>
      <x:c r="J131" s="23" t="n">
        <x:v>4</x:v>
      </x:c>
      <x:c r="K131" s="23" t="n">
        <x:v>119</x:v>
      </x:c>
      <x:c r="L131" s="23" t="n">
        <x:v>16475</x:v>
      </x:c>
      <x:c r="M131" s="20" t="str">
        <x:v>possible</x:v>
      </x:c>
      <x:c r="N131" s="23" t="n">
        <x:v>0</x:v>
      </x:c>
      <x:c r="O131" s="23" t="n">
        <x:v>8094022</x:v>
      </x:c>
      <x:c r="P131" s="23" t="n">
        <x:v>0</x:v>
      </x:c>
      <x:c r="Q131" s="23" t="n">
        <x:v>0</x:v>
      </x:c>
      <x:c r="R131" s="24" t="b">
        <x:v>1</x:v>
      </x:c>
      <x:c r="S131" s="23" t="n">
        <x:v>4034000</x:v>
      </x:c>
      <x:c r="T131" s="24" t="b">
        <x:v>1</x:v>
      </x:c>
      <x:c r="U131" s="24" t="b">
        <x:v>1</x:v>
      </x:c>
      <x:c r="V131" s="25" t="n">
        <x:f>N131+1.5*O131+3*P131+3*Q131</x:f>
        <x:v>12141033</x:v>
      </x:c>
      <x:c r="W131" s="25" t="n">
        <x:f>IF(S131="","",S131*3)</x:f>
        <x:v>12102000</x:v>
      </x:c>
      <x:c r="X131" s="25" t="n">
        <x:f>IF(OR(Z131="No",W131=""),"",V131-W131)</x:f>
        <x:v>39033</x:v>
      </x:c>
      <x:c r="Y131" s="26" t="n">
        <x:f>IF(OR(Z131="No",W131=""),"",IFERROR(V131/W131,0))</x:f>
        <x:v>1.003225334655429</x:v>
      </x:c>
      <x:c r="Z131" s="27" t="str">
        <x:f>IF(AND(U131=TRUE,V131=0),"No","Yes")</x:f>
        <x:v>Yes</x:v>
      </x:c>
      <x:c r="AA131" s="27" t="str">
        <x:f>IF(Z131="No","Not comparable",IF(X131="","Unknown cost",IF(X131&gt;0,"Yes","No")))</x:f>
        <x:v>Yes</x:v>
      </x:c>
      <x:c r="AB131" s="20" t="str">
        <x:v>4.034Mn</x:v>
      </x:c>
    </x:row>
    <x:row r="132">
      <x:c r="A132" s="20" t="str">
        <x:v>s150-20261003-02</x:v>
      </x:c>
      <x:c r="B132" s="21" t="d">
        <x:v>2026-10-03T00:00:00.000Z</x:v>
      </x:c>
      <x:c r="C132" s="22" t="n">
        <x:v>150</x:v>
      </x:c>
      <x:c r="D132" s="20" t="str">
        <x:v>PTS scan card</x:v>
      </x:c>
      <x:c r="E132" s="20" t="str">
        <x:v>Delivery: Metal</x:v>
      </x:c>
      <x:c r="F132" s="20" t="str">
        <x:v>PvP</x:v>
      </x:c>
      <x:c r="G132" s="23" t="n">
        <x:v>2</x:v>
      </x:c>
      <x:c r="H132" s="23" t="n">
        <x:v>444</x:v>
      </x:c>
      <x:c r="I132" s="23" t="str">
        <x:v>Delivery</x:v>
      </x:c>
      <x:c r="J132" s="23" t="n">
        <x:v>4</x:v>
      </x:c>
      <x:c r="K132" s="23" t="n">
        <x:v>144</x:v>
      </x:c>
      <x:c r="L132" s="23" t="n">
        <x:v>4220</x:v>
      </x:c>
      <x:c r="M132" s="20" t="str">
        <x:v>possible</x:v>
      </x:c>
      <x:c r="N132" s="23" t="n">
        <x:v>124127584</x:v>
      </x:c>
      <x:c r="O132" s="23" t="n">
        <x:v>0</x:v>
      </x:c>
      <x:c r="P132" s="23" t="n">
        <x:v>0</x:v>
      </x:c>
      <x:c r="Q132" s="23" t="n">
        <x:v>0</x:v>
      </x:c>
      <x:c r="R132" s="24" t="b">
        <x:v>1</x:v>
      </x:c>
      <x:c r="S132" s="23" t="n">
        <x:v>7223000</x:v>
      </x:c>
      <x:c r="T132" s="24" t="b">
        <x:v>1</x:v>
      </x:c>
      <x:c r="U132" s="24" t="b">
        <x:v>0</x:v>
      </x:c>
      <x:c r="V132" s="25" t="n">
        <x:f>N132+1.5*O132+3*P132+3*Q132</x:f>
        <x:v>124127584</x:v>
      </x:c>
      <x:c r="W132" s="25" t="n">
        <x:f>IF(S132="","",S132*3)</x:f>
        <x:v>21669000</x:v>
      </x:c>
      <x:c r="X132" s="25" t="n">
        <x:f>IF(OR(Z132="No",W132=""),"",V132-W132)</x:f>
        <x:v>102458584</x:v>
      </x:c>
      <x:c r="Y132" s="26" t="n">
        <x:f>IF(OR(Z132="No",W132=""),"",IFERROR(V132/W132,0))</x:f>
        <x:v>5.728348516313628</x:v>
      </x:c>
      <x:c r="Z132" s="27" t="str">
        <x:f>IF(AND(U132=TRUE,V132=0),"No","Yes")</x:f>
        <x:v>Yes</x:v>
      </x:c>
      <x:c r="AA132" s="27" t="str">
        <x:f>IF(Z132="No","Not comparable",IF(X132="","Unknown cost",IF(X132&gt;0,"Yes","No")))</x:f>
        <x:v>Yes</x:v>
      </x:c>
      <x:c r="AB132" s="20" t="str">
        <x:v>7.223Mn</x:v>
      </x:c>
    </x:row>
    <x:row r="133">
      <x:c r="A133" s="20" t="str">
        <x:v>s150-20261003-03</x:v>
      </x:c>
      <x:c r="B133" s="21" t="d">
        <x:v>2026-10-03T00:00:00.000Z</x:v>
      </x:c>
      <x:c r="C133" s="22" t="n">
        <x:v>150</x:v>
      </x:c>
      <x:c r="D133" s="20" t="str">
        <x:v>PTS scan card</x:v>
      </x:c>
      <x:c r="E133" s="20" t="str">
        <x:v>Delivery: Metal</x:v>
      </x:c>
      <x:c r="F133" s="20" t="str">
        <x:v>PvP</x:v>
      </x:c>
      <x:c r="G133" s="23" t="n">
        <x:v>2</x:v>
      </x:c>
      <x:c r="H133" s="23" t="n">
        <x:v>488</x:v>
      </x:c>
      <x:c r="I133" s="23" t="str">
        <x:v>Delivery</x:v>
      </x:c>
      <x:c r="J133" s="23" t="n">
        <x:v>4</x:v>
      </x:c>
      <x:c r="K133" s="23" t="n">
        <x:v>165</x:v>
      </x:c>
      <x:c r="L133" s="23" t="n">
        <x:v>15145</x:v>
      </x:c>
      <x:c r="M133" s="20" t="str">
        <x:v>possible</x:v>
      </x:c>
      <x:c r="N133" s="23" t="n">
        <x:v>136428576</x:v>
      </x:c>
      <x:c r="O133" s="23" t="n">
        <x:v>0</x:v>
      </x:c>
      <x:c r="P133" s="23" t="n">
        <x:v>0</x:v>
      </x:c>
      <x:c r="Q133" s="23" t="n">
        <x:v>0</x:v>
      </x:c>
      <x:c r="R133" s="24" t="b">
        <x:v>1</x:v>
      </x:c>
      <x:c r="S133" s="23" t="n">
        <x:v>7938000</x:v>
      </x:c>
      <x:c r="T133" s="24" t="b">
        <x:v>1</x:v>
      </x:c>
      <x:c r="U133" s="24" t="b">
        <x:v>0</x:v>
      </x:c>
      <x:c r="V133" s="25" t="n">
        <x:f>N133+1.5*O133+3*P133+3*Q133</x:f>
        <x:v>136428576</x:v>
      </x:c>
      <x:c r="W133" s="25" t="n">
        <x:f>IF(S133="","",S133*3)</x:f>
        <x:v>23814000</x:v>
      </x:c>
      <x:c r="X133" s="25" t="n">
        <x:f>IF(OR(Z133="No",W133=""),"",V133-W133)</x:f>
        <x:v>112614576</x:v>
      </x:c>
      <x:c r="Y133" s="26" t="n">
        <x:f>IF(OR(Z133="No",W133=""),"",IFERROR(V133/W133,0))</x:f>
        <x:v>5.728923154446964</x:v>
      </x:c>
      <x:c r="Z133" s="27" t="str">
        <x:f>IF(AND(U133=TRUE,V133=0),"No","Yes")</x:f>
        <x:v>Yes</x:v>
      </x:c>
      <x:c r="AA133" s="27" t="str">
        <x:f>IF(Z133="No","Not comparable",IF(X133="","Unknown cost",IF(X133&gt;0,"Yes","No")))</x:f>
        <x:v>Yes</x:v>
      </x:c>
      <x:c r="AB133" s="20" t="str">
        <x:v>7.938Mn</x:v>
      </x:c>
    </x:row>
    <x:row r="134">
      <x:c r="A134" s="20" t="str">
        <x:v>s150-20261003-04</x:v>
      </x:c>
      <x:c r="B134" s="21" t="d">
        <x:v>2026-10-03T00:00:00.000Z</x:v>
      </x:c>
      <x:c r="C134" s="22" t="n">
        <x:v>150</x:v>
      </x:c>
      <x:c r="D134" s="20" t="str">
        <x:v>PTS scan card</x:v>
      </x:c>
      <x:c r="E134" s="20" t="str">
        <x:v>Pirate Hideout</x:v>
      </x:c>
      <x:c r="F134" s="20" t="str">
        <x:v>PvE</x:v>
      </x:c>
      <x:c r="G134" s="23" t="n">
        <x:v>1</x:v>
      </x:c>
      <x:c r="H134" s="23" t="n">
        <x:v>514</x:v>
      </x:c>
      <x:c r="I134" s="23" t="str">
        <x:v>Combat</x:v>
      </x:c>
      <x:c r="J134" s="23" t="n">
        <x:v>1</x:v>
      </x:c>
      <x:c r="K134" s="23" t="n">
        <x:v>23</x:v>
      </x:c>
      <x:c r="L134" s="23" t="n">
        <x:v>15430</x:v>
      </x:c>
      <x:c r="M134" s="20" t="str">
        <x:v>possible</x:v>
      </x:c>
      <x:c r="N134" s="23" t="n">
        <x:v>4893539</x:v>
      </x:c>
      <x:c r="O134" s="23" t="n">
        <x:v>2178488</x:v>
      </x:c>
      <x:c r="P134" s="23" t="n">
        <x:v>682920</x:v>
      </x:c>
      <x:c r="Q134" s="23" t="n">
        <x:v>0</x:v>
      </x:c>
      <x:c r="R134" s="24" t="b">
        <x:v>1</x:v>
      </x:c>
      <x:c r="S134" s="23" t="n">
        <x:v>1045000</x:v>
      </x:c>
      <x:c r="T134" s="24" t="b">
        <x:v>1</x:v>
      </x:c>
      <x:c r="U134" s="24" t="b">
        <x:v>0</x:v>
      </x:c>
      <x:c r="V134" s="25" t="n">
        <x:f>N134+1.5*O134+3*P134+3*Q134</x:f>
        <x:v>10210031</x:v>
      </x:c>
      <x:c r="W134" s="25" t="n">
        <x:f>IF(S134="","",S134*3)</x:f>
        <x:v>3135000</x:v>
      </x:c>
      <x:c r="X134" s="25" t="n">
        <x:f>IF(OR(Z134="No",W134=""),"",V134-W134)</x:f>
        <x:v>7075031</x:v>
      </x:c>
      <x:c r="Y134" s="26" t="n">
        <x:f>IF(OR(Z134="No",W134=""),"",IFERROR(V134/W134,0))</x:f>
        <x:v>3.256788197767145</x:v>
      </x:c>
      <x:c r="Z134" s="27" t="str">
        <x:f>IF(AND(U134=TRUE,V134=0),"No","Yes")</x:f>
        <x:v>Yes</x:v>
      </x:c>
      <x:c r="AA134" s="27" t="str">
        <x:f>IF(Z134="No","Not comparable",IF(X134="","Unknown cost",IF(X134&gt;0,"Yes","No")))</x:f>
        <x:v>Yes</x:v>
      </x:c>
      <x:c r="AB134" s="20" t="str">
        <x:v>1.045Mn</x:v>
      </x:c>
    </x:row>
    <x:row r="135">
      <x:c r="A135" s="20" t="str">
        <x:v>s150-20261003-05</x:v>
      </x:c>
      <x:c r="B135" s="21" t="d">
        <x:v>2026-10-03T00:00:00.000Z</x:v>
      </x:c>
      <x:c r="C135" s="22" t="n">
        <x:v>150</x:v>
      </x:c>
      <x:c r="D135" s="20" t="str">
        <x:v>PTS scan card</x:v>
      </x:c>
      <x:c r="E135" s="20" t="str">
        <x:v>Medium Alien Encounter</x:v>
      </x:c>
      <x:c r="F135" s="20" t="str">
        <x:v>PvP</x:v>
      </x:c>
      <x:c r="G135" s="23" t="n">
        <x:v>5</x:v>
      </x:c>
      <x:c r="H135" s="23" t="n">
        <x:v>451</x:v>
      </x:c>
      <x:c r="I135" s="23" t="str">
        <x:v>Combat</x:v>
      </x:c>
      <x:c r="J135" s="23" t="n">
        <x:v>1</x:v>
      </x:c>
      <x:c r="K135" s="23" t="n">
        <x:v>28</x:v>
      </x:c>
      <x:c r="L135" s="23" t="n">
        <x:v>8400</x:v>
      </x:c>
      <x:c r="M135" s="20" t="str">
        <x:v>possible</x:v>
      </x:c>
      <x:c r="N135" s="23" t="n">
        <x:v>74424934</x:v>
      </x:c>
      <x:c r="O135" s="23" t="n">
        <x:v>0</x:v>
      </x:c>
      <x:c r="P135" s="23" t="n">
        <x:v>0</x:v>
      </x:c>
      <x:c r="Q135" s="23" t="n">
        <x:v>0</x:v>
      </x:c>
      <x:c r="R135" s="24" t="b">
        <x:v>1</x:v>
      </x:c>
      <x:c r="S135" s="23" t="n">
        <x:v>4585000</x:v>
      </x:c>
      <x:c r="T135" s="24" t="b">
        <x:v>1</x:v>
      </x:c>
      <x:c r="U135" s="24" t="b">
        <x:v>0</x:v>
      </x:c>
      <x:c r="V135" s="25" t="n">
        <x:f>N135+1.5*O135+3*P135+3*Q135</x:f>
        <x:v>74424934</x:v>
      </x:c>
      <x:c r="W135" s="25" t="n">
        <x:f>IF(S135="","",S135*3)</x:f>
        <x:v>13755000</x:v>
      </x:c>
      <x:c r="X135" s="25" t="n">
        <x:f>IF(OR(Z135="No",W135=""),"",V135-W135)</x:f>
        <x:v>60669934</x:v>
      </x:c>
      <x:c r="Y135" s="26" t="n">
        <x:f>IF(OR(Z135="No",W135=""),"",IFERROR(V135/W135,0))</x:f>
        <x:v>5.410754925481643</x:v>
      </x:c>
      <x:c r="Z135" s="27" t="str">
        <x:f>IF(AND(U135=TRUE,V135=0),"No","Yes")</x:f>
        <x:v>Yes</x:v>
      </x:c>
      <x:c r="AA135" s="27" t="str">
        <x:f>IF(Z135="No","Not comparable",IF(X135="","Unknown cost",IF(X135&gt;0,"Yes","No")))</x:f>
        <x:v>Yes</x:v>
      </x:c>
      <x:c r="AB135" s="20" t="str">
        <x:v>4.585Mn</x:v>
      </x:c>
    </x:row>
    <x:row r="136">
      <x:c r="A136" s="20" t="str">
        <x:v>s150-20261003-06</x:v>
      </x:c>
      <x:c r="B136" s="21" t="d">
        <x:v>2026-10-03T00:00:00.000Z</x:v>
      </x:c>
      <x:c r="C136" s="22" t="n">
        <x:v>150</x:v>
      </x:c>
      <x:c r="D136" s="20" t="str">
        <x:v>PTS scan card</x:v>
      </x:c>
      <x:c r="E136" s="20" t="str">
        <x:v>Resource: Deuterium</x:v>
      </x:c>
      <x:c r="F136" s="20" t="str">
        <x:v>PvE</x:v>
      </x:c>
      <x:c r="G136" s="23" t="n">
        <x:v>3</x:v>
      </x:c>
      <x:c r="H136" s="23" t="n">
        <x:v>572</x:v>
      </x:c>
      <x:c r="I136" s="23" t="str">
        <x:v>Combat</x:v>
      </x:c>
      <x:c r="J136" s="23" t="n">
        <x:v>8</x:v>
      </x:c>
      <x:c r="K136" s="23" t="n">
        <x:v>212</x:v>
      </x:c>
      <x:c r="L136" s="23" t="n">
        <x:v>14955</x:v>
      </x:c>
      <x:c r="M136" s="20" t="str">
        <x:v>possible</x:v>
      </x:c>
      <x:c r="N136" s="23" t="n">
        <x:v>0</x:v>
      </x:c>
      <x:c r="O136" s="23" t="n">
        <x:v>0</x:v>
      </x:c>
      <x:c r="P136" s="23" t="n">
        <x:v>79311544</x:v>
      </x:c>
      <x:c r="Q136" s="23" t="n">
        <x:v>0</x:v>
      </x:c>
      <x:c r="R136" s="24" t="b">
        <x:v>1</x:v>
      </x:c>
      <x:c r="S136" s="23" t="n">
        <x:v>27916000</x:v>
      </x:c>
      <x:c r="T136" s="24" t="b">
        <x:v>1</x:v>
      </x:c>
      <x:c r="U136" s="24" t="b">
        <x:v>0</x:v>
      </x:c>
      <x:c r="V136" s="25" t="n">
        <x:f>N136+1.5*O136+3*P136+3*Q136</x:f>
        <x:v>237934632</x:v>
      </x:c>
      <x:c r="W136" s="25" t="n">
        <x:f>IF(S136="","",S136*3)</x:f>
        <x:v>83748000</x:v>
      </x:c>
      <x:c r="X136" s="25" t="n">
        <x:f>IF(OR(Z136="No",W136=""),"",V136-W136)</x:f>
        <x:v>154186632</x:v>
      </x:c>
      <x:c r="Y136" s="26" t="n">
        <x:f>IF(OR(Z136="No",W136=""),"",IFERROR(V136/W136,0))</x:f>
        <x:v>2.841078377991116</x:v>
      </x:c>
      <x:c r="Z136" s="27" t="str">
        <x:f>IF(AND(U136=TRUE,V136=0),"No","Yes")</x:f>
        <x:v>Yes</x:v>
      </x:c>
      <x:c r="AA136" s="27" t="str">
        <x:f>IF(Z136="No","Not comparable",IF(X136="","Unknown cost",IF(X136&gt;0,"Yes","No")))</x:f>
        <x:v>Yes</x:v>
      </x:c>
      <x:c r="AB136" s="20" t="str">
        <x:v>27.916Mn</x:v>
      </x:c>
    </x:row>
    <x:row r="137">
      <x:c r="A137" s="20" t="str">
        <x:v>s150-20261003-07</x:v>
      </x:c>
      <x:c r="B137" s="21" t="d">
        <x:v>2026-10-03T00:00:00.000Z</x:v>
      </x:c>
      <x:c r="C137" s="22" t="n">
        <x:v>150</x:v>
      </x:c>
      <x:c r="D137" s="20" t="str">
        <x:v>PTS scan card</x:v>
      </x:c>
      <x:c r="E137" s="20" t="str">
        <x:v>Rescue</x:v>
      </x:c>
      <x:c r="F137" s="20" t="str">
        <x:v>PvP</x:v>
      </x:c>
      <x:c r="G137" s="23" t="n">
        <x:v>2</x:v>
      </x:c>
      <x:c r="H137" s="23" t="n">
        <x:v>430</x:v>
      </x:c>
      <x:c r="I137" s="23" t="str">
        <x:v>Combat</x:v>
      </x:c>
      <x:c r="J137" s="23" t="n">
        <x:v>1</x:v>
      </x:c>
      <x:c r="K137" s="23" t="n">
        <x:v>35</x:v>
      </x:c>
      <x:c r="L137" s="23" t="n">
        <x:v>13910</x:v>
      </x:c>
      <x:c r="M137" s="20" t="str">
        <x:v>possible</x:v>
      </x:c>
      <x:c r="N137" s="23" t="n">
        <x:v>0</x:v>
      </x:c>
      <x:c r="O137" s="23" t="n">
        <x:v>0</x:v>
      </x:c>
      <x:c r="P137" s="23" t="n">
        <x:v>0</x:v>
      </x:c>
      <x:c r="Q137" s="23" t="n">
        <x:v>0</x:v>
      </x:c>
      <x:c r="R137" s="24" t="b">
        <x:v>0</x:v>
      </x:c>
      <x:c r="S137" s="23" t="n">
        <x:v>1748000</x:v>
      </x:c>
      <x:c r="T137" s="24" t="b">
        <x:v>1</x:v>
      </x:c>
      <x:c r="U137" s="24" t="b">
        <x:v>1</x:v>
      </x:c>
      <x:c r="V137" s="25" t="n">
        <x:f>N137+1.5*O137+3*P137+3*Q137</x:f>
        <x:v>0</x:v>
      </x:c>
      <x:c r="W137" s="25" t="n">
        <x:f>IF(S137="","",S137*3)</x:f>
        <x:v>5244000</x:v>
      </x:c>
      <x:c r="X137" s="25" t="str">
        <x:f>IF(OR(Z137="No",W137=""),"",V137-W137)</x:f>
      </x:c>
      <x:c r="Y137" s="26" t="str">
        <x:f>IF(OR(Z137="No",W137=""),"",IFERROR(V137/W137,0))</x:f>
      </x:c>
      <x:c r="Z137" s="27" t="str">
        <x:f>IF(AND(U137=TRUE,V137=0),"No","Yes")</x:f>
        <x:v>No</x:v>
      </x:c>
      <x:c r="AA137" s="27" t="str">
        <x:f>IF(Z137="No","Not comparable",IF(X137="","Unknown cost",IF(X137&gt;0,"Yes","No")))</x:f>
        <x:v>Not comparable</x:v>
      </x:c>
      <x:c r="AB137" s="20" t="str">
        <x:v>1.748Mn</x:v>
      </x:c>
    </x:row>
    <x:row r="138">
      <x:c r="A138" s="20" t="str">
        <x:v>s150-20261003-08</x:v>
      </x:c>
      <x:c r="B138" s="21" t="d">
        <x:v>2026-10-03T00:00:00.000Z</x:v>
      </x:c>
      <x:c r="C138" s="22" t="n">
        <x:v>150</x:v>
      </x:c>
      <x:c r="D138" s="20" t="str">
        <x:v>PTS scan card</x:v>
      </x:c>
      <x:c r="E138" s="20" t="str">
        <x:v>Delivery: Metal</x:v>
      </x:c>
      <x:c r="F138" s="20" t="str">
        <x:v>PvE</x:v>
      </x:c>
      <x:c r="G138" s="23" t="n">
        <x:v>5</x:v>
      </x:c>
      <x:c r="H138" s="23" t="n">
        <x:v>424</x:v>
      </x:c>
      <x:c r="I138" s="23" t="str">
        <x:v>Delivery</x:v>
      </x:c>
      <x:c r="J138" s="23" t="n">
        <x:v>2</x:v>
      </x:c>
      <x:c r="K138" s="23" t="n">
        <x:v>71</x:v>
      </x:c>
      <x:c r="L138" s="23" t="n">
        <x:v>13910</x:v>
      </x:c>
      <x:c r="M138" s="20" t="str">
        <x:v>possible</x:v>
      </x:c>
      <x:c r="N138" s="23" t="n">
        <x:v>53505956</x:v>
      </x:c>
      <x:c r="O138" s="23" t="n">
        <x:v>0</x:v>
      </x:c>
      <x:c r="P138" s="23" t="n">
        <x:v>0</x:v>
      </x:c>
      <x:c r="Q138" s="23" t="n">
        <x:v>0</x:v>
      </x:c>
      <x:c r="R138" s="24" t="b">
        <x:v>1</x:v>
      </x:c>
      <x:c r="S138" s="23" t="n">
        <x:v>8622000</x:v>
      </x:c>
      <x:c r="T138" s="24" t="b">
        <x:v>1</x:v>
      </x:c>
      <x:c r="U138" s="24" t="b">
        <x:v>0</x:v>
      </x:c>
      <x:c r="V138" s="25" t="n">
        <x:f>N138+1.5*O138+3*P138+3*Q138</x:f>
        <x:v>53505956</x:v>
      </x:c>
      <x:c r="W138" s="25" t="n">
        <x:f>IF(S138="","",S138*3)</x:f>
        <x:v>25866000</x:v>
      </x:c>
      <x:c r="X138" s="25" t="n">
        <x:f>IF(OR(Z138="No",W138=""),"",V138-W138)</x:f>
        <x:v>27639956</x:v>
      </x:c>
      <x:c r="Y138" s="26" t="n">
        <x:f>IF(OR(Z138="No",W138=""),"",IFERROR(V138/W138,0))</x:f>
        <x:v>2.068582540787134</x:v>
      </x:c>
      <x:c r="Z138" s="27" t="str">
        <x:f>IF(AND(U138=TRUE,V138=0),"No","Yes")</x:f>
        <x:v>Yes</x:v>
      </x:c>
      <x:c r="AA138" s="27" t="str">
        <x:f>IF(Z138="No","Not comparable",IF(X138="","Unknown cost",IF(X138&gt;0,"Yes","No")))</x:f>
        <x:v>Yes</x:v>
      </x:c>
      <x:c r="AB138" s="20" t="str">
        <x:v>8.622Mn</x:v>
      </x:c>
    </x:row>
    <x:row r="139">
      <x:c r="A139" s="20" t="str">
        <x:v>s150-20261003-09</x:v>
      </x:c>
      <x:c r="B139" s="21" t="d">
        <x:v>2026-10-03T00:00:00.000Z</x:v>
      </x:c>
      <x:c r="C139" s="22" t="n">
        <x:v>150</x:v>
      </x:c>
      <x:c r="D139" s="20" t="str">
        <x:v>PTS scan card</x:v>
      </x:c>
      <x:c r="E139" s="20" t="str">
        <x:v>Lifeform Rescue</x:v>
      </x:c>
      <x:c r="F139" s="20" t="str">
        <x:v>PvP</x:v>
      </x:c>
      <x:c r="G139" s="23" t="n">
        <x:v>3</x:v>
      </x:c>
      <x:c r="H139" s="23" t="n">
        <x:v>416</x:v>
      </x:c>
      <x:c r="I139" s="23" t="str">
        <x:v>Combat</x:v>
      </x:c>
      <x:c r="J139" s="23" t="n">
        <x:v>2</x:v>
      </x:c>
      <x:c r="K139" s="23" t="n">
        <x:v>84</x:v>
      </x:c>
      <x:c r="L139" s="23" t="n">
        <x:v>11915</x:v>
      </x:c>
      <x:c r="M139" s="20" t="str">
        <x:v>possible</x:v>
      </x:c>
      <x:c r="N139" s="23" t="n">
        <x:v>55996182</x:v>
      </x:c>
      <x:c r="O139" s="23" t="n">
        <x:v>24928182</x:v>
      </x:c>
      <x:c r="P139" s="23" t="n">
        <x:v>7814578</x:v>
      </x:c>
      <x:c r="Q139" s="23" t="n">
        <x:v>0</x:v>
      </x:c>
      <x:c r="R139" s="24" t="b">
        <x:v>1</x:v>
      </x:c>
      <x:c r="S139" s="23" t="n">
        <x:v>6767000</x:v>
      </x:c>
      <x:c r="T139" s="24" t="b">
        <x:v>1</x:v>
      </x:c>
      <x:c r="U139" s="24" t="b">
        <x:v>1</x:v>
      </x:c>
      <x:c r="V139" s="25" t="n">
        <x:f>N139+1.5*O139+3*P139+3*Q139</x:f>
        <x:v>116832189</x:v>
      </x:c>
      <x:c r="W139" s="25" t="n">
        <x:f>IF(S139="","",S139*3)</x:f>
        <x:v>20301000</x:v>
      </x:c>
      <x:c r="X139" s="25" t="n">
        <x:f>IF(OR(Z139="No",W139=""),"",V139-W139)</x:f>
        <x:v>96531189</x:v>
      </x:c>
      <x:c r="Y139" s="26" t="n">
        <x:f>IF(OR(Z139="No",W139=""),"",IFERROR(V139/W139,0))</x:f>
        <x:v>5.754996748928624</x:v>
      </x:c>
      <x:c r="Z139" s="27" t="str">
        <x:f>IF(AND(U139=TRUE,V139=0),"No","Yes")</x:f>
        <x:v>Yes</x:v>
      </x:c>
      <x:c r="AA139" s="27" t="str">
        <x:f>IF(Z139="No","Not comparable",IF(X139="","Unknown cost",IF(X139&gt;0,"Yes","No")))</x:f>
        <x:v>Yes</x:v>
      </x:c>
      <x:c r="AB139" s="20" t="str">
        <x:v>6.767Mn</x:v>
      </x:c>
    </x:row>
    <x:row r="140">
      <x:c r="A140" s="20" t="str">
        <x:v>s150-20261003-10</x:v>
      </x:c>
      <x:c r="B140" s="21" t="d">
        <x:v>2026-10-03T00:00:00.000Z</x:v>
      </x:c>
      <x:c r="C140" s="22" t="n">
        <x:v>150</x:v>
      </x:c>
      <x:c r="D140" s="20" t="str">
        <x:v>PTS scan card</x:v>
      </x:c>
      <x:c r="E140" s="20" t="str">
        <x:v>Resource: Deuterium</x:v>
      </x:c>
      <x:c r="F140" s="20" t="str">
        <x:v>PvE</x:v>
      </x:c>
      <x:c r="G140" s="23" t="n">
        <x:v>1</x:v>
      </x:c>
      <x:c r="H140" s="23" t="n">
        <x:v>581</x:v>
      </x:c>
      <x:c r="I140" s="23" t="str">
        <x:v>Combat</x:v>
      </x:c>
      <x:c r="J140" s="23" t="n">
        <x:v>8</x:v>
      </x:c>
      <x:c r="K140" s="23" t="n">
        <x:v>229</x:v>
      </x:c>
      <x:c r="L140" s="23" t="n">
        <x:v>15715</x:v>
      </x:c>
      <x:c r="M140" s="20" t="str">
        <x:v>possible</x:v>
      </x:c>
      <x:c r="N140" s="23" t="n">
        <x:v>0</x:v>
      </x:c>
      <x:c r="O140" s="23" t="n">
        <x:v>0</x:v>
      </x:c>
      <x:c r="P140" s="23" t="n">
        <x:v>26853152</x:v>
      </x:c>
      <x:c r="Q140" s="23" t="n">
        <x:v>0</x:v>
      </x:c>
      <x:c r="R140" s="24" t="b">
        <x:v>1</x:v>
      </x:c>
      <x:c r="S140" s="23" t="n">
        <x:v>9451000</x:v>
      </x:c>
      <x:c r="T140" s="24" t="b">
        <x:v>1</x:v>
      </x:c>
      <x:c r="U140" s="24" t="b">
        <x:v>0</x:v>
      </x:c>
      <x:c r="V140" s="25" t="n">
        <x:f>N140+1.5*O140+3*P140+3*Q140</x:f>
        <x:v>80559456</x:v>
      </x:c>
      <x:c r="W140" s="25" t="n">
        <x:f>IF(S140="","",S140*3)</x:f>
        <x:v>28353000</x:v>
      </x:c>
      <x:c r="X140" s="25" t="n">
        <x:f>IF(OR(Z140="No",W140=""),"",V140-W140)</x:f>
        <x:v>52206456</x:v>
      </x:c>
      <x:c r="Y140" s="26" t="n">
        <x:f>IF(OR(Z140="No",W140=""),"",IFERROR(V140/W140,0))</x:f>
        <x:v>2.841302719288964</x:v>
      </x:c>
      <x:c r="Z140" s="27" t="str">
        <x:f>IF(AND(U140=TRUE,V140=0),"No","Yes")</x:f>
        <x:v>Yes</x:v>
      </x:c>
      <x:c r="AA140" s="27" t="str">
        <x:f>IF(Z140="No","Not comparable",IF(X140="","Unknown cost",IF(X140&gt;0,"Yes","No")))</x:f>
        <x:v>Yes</x:v>
      </x:c>
      <x:c r="AB140" s="20" t="str">
        <x:v>9.451Mn</x:v>
      </x:c>
    </x:row>
    <x:row r="141">
      <x:c r="A141" s="20" t="str">
        <x:v>s150-20261003-11</x:v>
      </x:c>
      <x:c r="B141" s="21" t="d">
        <x:v>2026-10-03T00:00:00.000Z</x:v>
      </x:c>
      <x:c r="C141" s="22" t="n">
        <x:v>150</x:v>
      </x:c>
      <x:c r="D141" s="20" t="str">
        <x:v>PTS scan card</x:v>
      </x:c>
      <x:c r="E141" s="20" t="str">
        <x:v>Medium Alien Encounter</x:v>
      </x:c>
      <x:c r="F141" s="20" t="str">
        <x:v>PvE</x:v>
      </x:c>
      <x:c r="G141" s="23" t="n">
        <x:v>4</x:v>
      </x:c>
      <x:c r="H141" s="23" t="n">
        <x:v>485</x:v>
      </x:c>
      <x:c r="I141" s="23" t="str">
        <x:v>Combat</x:v>
      </x:c>
      <x:c r="J141" s="23" t="n">
        <x:v>1</x:v>
      </x:c>
      <x:c r="K141" s="23" t="n">
        <x:v>32</x:v>
      </x:c>
      <x:c r="L141" s="23" t="n">
        <x:v>2985</x:v>
      </x:c>
      <x:c r="M141" s="20" t="str">
        <x:v>possible</x:v>
      </x:c>
      <x:c r="N141" s="23" t="n">
        <x:v>24010702</x:v>
      </x:c>
      <x:c r="O141" s="23" t="n">
        <x:v>0</x:v>
      </x:c>
      <x:c r="P141" s="23" t="n">
        <x:v>0</x:v>
      </x:c>
      <x:c r="Q141" s="23" t="n">
        <x:v>0</x:v>
      </x:c>
      <x:c r="R141" s="24" t="b">
        <x:v>1</x:v>
      </x:c>
      <x:c r="S141" s="23" t="n">
        <x:v>3945000</x:v>
      </x:c>
      <x:c r="T141" s="24" t="b">
        <x:v>1</x:v>
      </x:c>
      <x:c r="U141" s="24" t="b">
        <x:v>0</x:v>
      </x:c>
      <x:c r="V141" s="25" t="n">
        <x:f>N141+1.5*O141+3*P141+3*Q141</x:f>
        <x:v>24010702</x:v>
      </x:c>
      <x:c r="W141" s="25" t="n">
        <x:f>IF(S141="","",S141*3)</x:f>
        <x:v>11835000</x:v>
      </x:c>
      <x:c r="X141" s="25" t="n">
        <x:f>IF(OR(Z141="No",W141=""),"",V141-W141)</x:f>
        <x:v>12175702</x:v>
      </x:c>
      <x:c r="Y141" s="26" t="n">
        <x:f>IF(OR(Z141="No",W141=""),"",IFERROR(V141/W141,0))</x:f>
        <x:v>2.0287876637093367</x:v>
      </x:c>
      <x:c r="Z141" s="27" t="str">
        <x:f>IF(AND(U141=TRUE,V141=0),"No","Yes")</x:f>
        <x:v>Yes</x:v>
      </x:c>
      <x:c r="AA141" s="27" t="str">
        <x:f>IF(Z141="No","Not comparable",IF(X141="","Unknown cost",IF(X141&gt;0,"Yes","No")))</x:f>
        <x:v>Yes</x:v>
      </x:c>
      <x:c r="AB141" s="20" t="str">
        <x:v>3.945Mn</x:v>
      </x:c>
    </x:row>
    <x:row r="142">
      <x:c r="A142" s="20" t="str">
        <x:v>s150-20261003-12</x:v>
      </x:c>
      <x:c r="B142" s="21" t="d">
        <x:v>2026-10-03T00:00:00.000Z</x:v>
      </x:c>
      <x:c r="C142" s="22" t="n">
        <x:v>150</x:v>
      </x:c>
      <x:c r="D142" s="20" t="str">
        <x:v>PTS scan card</x:v>
      </x:c>
      <x:c r="E142" s="20" t="str">
        <x:v>Medium Pirate Encounter</x:v>
      </x:c>
      <x:c r="F142" s="20" t="str">
        <x:v>PvE</x:v>
      </x:c>
      <x:c r="G142" s="23" t="n">
        <x:v>2</x:v>
      </x:c>
      <x:c r="H142" s="23" t="n">
        <x:v>590</x:v>
      </x:c>
      <x:c r="I142" s="23" t="str">
        <x:v>Combat</x:v>
      </x:c>
      <x:c r="J142" s="23" t="n">
        <x:v>3</x:v>
      </x:c>
      <x:c r="K142" s="23" t="n">
        <x:v>93</x:v>
      </x:c>
      <x:c r="L142" s="23" t="n">
        <x:v>6975</x:v>
      </x:c>
      <x:c r="M142" s="20" t="str">
        <x:v>possible</x:v>
      </x:c>
      <x:c r="N142" s="23" t="n">
        <x:v>0</x:v>
      </x:c>
      <x:c r="O142" s="23" t="n">
        <x:v>11024623</x:v>
      </x:c>
      <x:c r="P142" s="23" t="n">
        <x:v>0</x:v>
      </x:c>
      <x:c r="Q142" s="23" t="n">
        <x:v>0</x:v>
      </x:c>
      <x:c r="R142" s="24" t="b">
        <x:v>1</x:v>
      </x:c>
      <x:c r="S142" s="23" t="n">
        <x:v>7198000</x:v>
      </x:c>
      <x:c r="T142" s="24" t="b">
        <x:v>1</x:v>
      </x:c>
      <x:c r="U142" s="24" t="b">
        <x:v>1</x:v>
      </x:c>
      <x:c r="V142" s="25" t="n">
        <x:f>N142+1.5*O142+3*P142+3*Q142</x:f>
        <x:v>16536934.5</x:v>
      </x:c>
      <x:c r="W142" s="25" t="n">
        <x:f>IF(S142="","",S142*3)</x:f>
        <x:v>21594000</x:v>
      </x:c>
      <x:c r="X142" s="25" t="n">
        <x:f>IF(OR(Z142="No",W142=""),"",V142-W142)</x:f>
        <x:v>-5057065.5</x:v>
      </x:c>
      <x:c r="Y142" s="26" t="n">
        <x:f>IF(OR(Z142="No",W142=""),"",IFERROR(V142/W142,0))</x:f>
        <x:v>0.765811544873576</x:v>
      </x:c>
      <x:c r="Z142" s="27" t="str">
        <x:f>IF(AND(U142=TRUE,V142=0),"No","Yes")</x:f>
        <x:v>Yes</x:v>
      </x:c>
      <x:c r="AA142" s="27" t="str">
        <x:f>IF(Z142="No","Not comparable",IF(X142="","Unknown cost",IF(X142&gt;0,"Yes","No")))</x:f>
        <x:v>No</x:v>
      </x:c>
      <x:c r="AB142" s="20" t="str">
        <x:v>7.198Mn</x:v>
      </x:c>
    </x:row>
    <x:row r="143">
      <x:c r="A143" s="20" t="str">
        <x:v>s150-20261003-13</x:v>
      </x:c>
      <x:c r="B143" s="21" t="d">
        <x:v>2026-10-03T00:00:00.000Z</x:v>
      </x:c>
      <x:c r="C143" s="22" t="n">
        <x:v>150</x:v>
      </x:c>
      <x:c r="D143" s="20" t="str">
        <x:v>PTS scan card</x:v>
      </x:c>
      <x:c r="E143" s="20" t="str">
        <x:v>Lifeform Rescue</x:v>
      </x:c>
      <x:c r="F143" s="20" t="str">
        <x:v>PvE</x:v>
      </x:c>
      <x:c r="G143" s="23" t="n">
        <x:v>3</x:v>
      </x:c>
      <x:c r="H143" s="23" t="n">
        <x:v>529</x:v>
      </x:c>
      <x:c r="I143" s="23" t="str">
        <x:v>Combat</x:v>
      </x:c>
      <x:c r="J143" s="23" t="n">
        <x:v>2</x:v>
      </x:c>
      <x:c r="K143" s="23" t="n">
        <x:v>82</x:v>
      </x:c>
      <x:c r="L143" s="23" t="n">
        <x:v>10585</x:v>
      </x:c>
      <x:c r="M143" s="20" t="str">
        <x:v>possible</x:v>
      </x:c>
      <x:c r="N143" s="23" t="n">
        <x:v>0</x:v>
      </x:c>
      <x:c r="O143" s="23" t="n">
        <x:v>0</x:v>
      </x:c>
      <x:c r="P143" s="23" t="n">
        <x:v>0</x:v>
      </x:c>
      <x:c r="Q143" s="23" t="n">
        <x:v>0</x:v>
      </x:c>
      <x:c r="R143" s="24" t="b">
        <x:v>0</x:v>
      </x:c>
      <x:c r="S143" s="23" t="n">
        <x:v>6454000</x:v>
      </x:c>
      <x:c r="T143" s="24" t="b">
        <x:v>1</x:v>
      </x:c>
      <x:c r="U143" s="24" t="b">
        <x:v>1</x:v>
      </x:c>
      <x:c r="V143" s="25" t="n">
        <x:f>N143+1.5*O143+3*P143+3*Q143</x:f>
        <x:v>0</x:v>
      </x:c>
      <x:c r="W143" s="25" t="n">
        <x:f>IF(S143="","",S143*3)</x:f>
        <x:v>19362000</x:v>
      </x:c>
      <x:c r="X143" s="25" t="str">
        <x:f>IF(OR(Z143="No",W143=""),"",V143-W143)</x:f>
      </x:c>
      <x:c r="Y143" s="26" t="str">
        <x:f>IF(OR(Z143="No",W143=""),"",IFERROR(V143/W143,0))</x:f>
      </x:c>
      <x:c r="Z143" s="27" t="str">
        <x:f>IF(AND(U143=TRUE,V143=0),"No","Yes")</x:f>
        <x:v>No</x:v>
      </x:c>
      <x:c r="AA143" s="27" t="str">
        <x:f>IF(Z143="No","Not comparable",IF(X143="","Unknown cost",IF(X143&gt;0,"Yes","No")))</x:f>
        <x:v>Not comparable</x:v>
      </x:c>
      <x:c r="AB143" s="20" t="str">
        <x:v>6.454Mn</x:v>
      </x:c>
    </x:row>
    <x:row r="144">
      <x:c r="A144" s="20" t="str">
        <x:v>s150-20261003-14</x:v>
      </x:c>
      <x:c r="B144" s="21" t="d">
        <x:v>2026-10-03T00:00:00.000Z</x:v>
      </x:c>
      <x:c r="C144" s="22" t="n">
        <x:v>150</x:v>
      </x:c>
      <x:c r="D144" s="20" t="str">
        <x:v>PTS scan card</x:v>
      </x:c>
      <x:c r="E144" s="20" t="str">
        <x:v>Resource: Deuterium</x:v>
      </x:c>
      <x:c r="F144" s="20" t="str">
        <x:v>PvE</x:v>
      </x:c>
      <x:c r="G144" s="23" t="n">
        <x:v>5</x:v>
      </x:c>
      <x:c r="H144" s="23" t="n">
        <x:v>493</x:v>
      </x:c>
      <x:c r="I144" s="23" t="str">
        <x:v>Combat</x:v>
      </x:c>
      <x:c r="J144" s="23" t="n">
        <x:v>10</x:v>
      </x:c>
      <x:c r="K144" s="23" t="n">
        <x:v>288</x:v>
      </x:c>
      <x:c r="L144" s="23" t="n">
        <x:v>8780</x:v>
      </x:c>
      <x:c r="M144" s="20" t="str">
        <x:v>possible</x:v>
      </x:c>
      <x:c r="N144" s="23" t="n">
        <x:v>0</x:v>
      </x:c>
      <x:c r="O144" s="23" t="n">
        <x:v>0</x:v>
      </x:c>
      <x:c r="P144" s="23" t="n">
        <x:v>147322580</x:v>
      </x:c>
      <x:c r="Q144" s="23" t="n">
        <x:v>0</x:v>
      </x:c>
      <x:c r="R144" s="24" t="b">
        <x:v>1</x:v>
      </x:c>
      <x:c r="S144" s="23"/>
      <x:c r="T144" s="24" t="b">
        <x:v>1</x:v>
      </x:c>
      <x:c r="U144" s="24" t="b">
        <x:v>0</x:v>
      </x:c>
      <x:c r="V144" s="25" t="n">
        <x:f>N144+1.5*O144+3*P144+3*Q144</x:f>
        <x:v>441967740</x:v>
      </x:c>
      <x:c r="W144" s="25" t="str">
        <x:f>IF(S144="","",S144*3)</x:f>
      </x:c>
      <x:c r="X144" s="25" t="str">
        <x:f>IF(OR(Z144="No",W144=""),"",V144-W144)</x:f>
      </x:c>
      <x:c r="Y144" s="26" t="str">
        <x:f>IF(OR(Z144="No",W144=""),"",IFERROR(V144/W144,0))</x:f>
      </x:c>
      <x:c r="Z144" s="27" t="str">
        <x:f>IF(AND(U144=TRUE,V144=0),"No","Yes")</x:f>
        <x:v>Yes</x:v>
      </x:c>
      <x:c r="AA144" s="27" t="str">
        <x:f>IF(Z144="No","Not comparable",IF(X144="","Unknown cost",IF(X144&gt;0,"Yes","No")))</x:f>
        <x:v>Unknown cost</x:v>
      </x:c>
      <x:c r="AB144" s="20" t="str">
        <x:v>50.12…Mn (partly obscured by cursor)</x:v>
      </x:c>
    </x:row>
    <x:row r="145">
      <x:c r="A145" s="20" t="str">
        <x:v>s150-20261003-15</x:v>
      </x:c>
      <x:c r="B145" s="21" t="d">
        <x:v>2026-10-03T00:00:00.000Z</x:v>
      </x:c>
      <x:c r="C145" s="22" t="n">
        <x:v>150</x:v>
      </x:c>
      <x:c r="D145" s="20" t="str">
        <x:v>PTS scan card</x:v>
      </x:c>
      <x:c r="E145" s="20" t="str">
        <x:v>Small Alien Encounter</x:v>
      </x:c>
      <x:c r="F145" s="20" t="str">
        <x:v>PvP</x:v>
      </x:c>
      <x:c r="G145" s="23" t="n">
        <x:v>4</x:v>
      </x:c>
      <x:c r="H145" s="23" t="n">
        <x:v>411</x:v>
      </x:c>
      <x:c r="I145" s="23" t="str">
        <x:v>Combat</x:v>
      </x:c>
      <x:c r="J145" s="23" t="n">
        <x:v>1</x:v>
      </x:c>
      <x:c r="K145" s="23" t="n">
        <x:v>29</x:v>
      </x:c>
      <x:c r="L145" s="23" t="n">
        <x:v>3935</x:v>
      </x:c>
      <x:c r="M145" s="20" t="str">
        <x:v>possible</x:v>
      </x:c>
      <x:c r="N145" s="23" t="n">
        <x:v>0</x:v>
      </x:c>
      <x:c r="O145" s="23" t="n">
        <x:v>0</x:v>
      </x:c>
      <x:c r="P145" s="23" t="n">
        <x:v>0</x:v>
      </x:c>
      <x:c r="Q145" s="23" t="n">
        <x:v>20557948</x:v>
      </x:c>
      <x:c r="R145" s="24" t="b">
        <x:v>1</x:v>
      </x:c>
      <x:c r="S145" s="23" t="n">
        <x:v>3343000</x:v>
      </x:c>
      <x:c r="T145" s="24" t="b">
        <x:v>1</x:v>
      </x:c>
      <x:c r="U145" s="24" t="b">
        <x:v>0</x:v>
      </x:c>
      <x:c r="V145" s="25" t="n">
        <x:f>N145+1.5*O145+3*P145+3*Q145</x:f>
        <x:v>61673844</x:v>
      </x:c>
      <x:c r="W145" s="25" t="n">
        <x:f>IF(S145="","",S145*3)</x:f>
        <x:v>10029000</x:v>
      </x:c>
      <x:c r="X145" s="25" t="n">
        <x:f>IF(OR(Z145="No",W145=""),"",V145-W145)</x:f>
        <x:v>51644844</x:v>
      </x:c>
      <x:c r="Y145" s="26" t="n">
        <x:f>IF(OR(Z145="No",W145=""),"",IFERROR(V145/W145,0))</x:f>
        <x:v>6.149550702961412</x:v>
      </x:c>
      <x:c r="Z145" s="27" t="str">
        <x:f>IF(AND(U145=TRUE,V145=0),"No","Yes")</x:f>
        <x:v>Yes</x:v>
      </x:c>
      <x:c r="AA145" s="27" t="str">
        <x:f>IF(Z145="No","Not comparable",IF(X145="","Unknown cost",IF(X145&gt;0,"Yes","No")))</x:f>
        <x:v>Yes</x:v>
      </x:c>
      <x:c r="AB145" s="20" t="str">
        <x:v>3.343Mn</x:v>
      </x:c>
    </x:row>
    <x:row r="146">
      <x:c r="A146" s="20" t="str">
        <x:v>s150-20261003-16</x:v>
      </x:c>
      <x:c r="B146" s="21" t="d">
        <x:v>2026-10-03T00:00:00.000Z</x:v>
      </x:c>
      <x:c r="C146" s="22" t="n">
        <x:v>150</x:v>
      </x:c>
      <x:c r="D146" s="20" t="str">
        <x:v>PTS scan card</x:v>
      </x:c>
      <x:c r="E146" s="20" t="str">
        <x:v>Medium Pirate Encounter</x:v>
      </x:c>
      <x:c r="F146" s="20" t="str">
        <x:v>PvP</x:v>
      </x:c>
      <x:c r="G146" s="23" t="n">
        <x:v>1</x:v>
      </x:c>
      <x:c r="H146" s="23" t="n">
        <x:v>419</x:v>
      </x:c>
      <x:c r="I146" s="23" t="str">
        <x:v>Combat</x:v>
      </x:c>
      <x:c r="J146" s="23" t="n">
        <x:v>5</x:v>
      </x:c>
      <x:c r="K146" s="23" t="n">
        <x:v>160</x:v>
      </x:c>
      <x:c r="L146" s="23" t="n">
        <x:v>12675</x:v>
      </x:c>
      <x:c r="M146" s="20" t="str">
        <x:v>possible</x:v>
      </x:c>
      <x:c r="N146" s="23" t="n">
        <x:v>16060650</x:v>
      </x:c>
      <x:c r="O146" s="23" t="n">
        <x:v>0</x:v>
      </x:c>
      <x:c r="P146" s="23" t="n">
        <x:v>6592214</x:v>
      </x:c>
      <x:c r="Q146" s="23" t="n">
        <x:v>0</x:v>
      </x:c>
      <x:c r="R146" s="24" t="b">
        <x:v>1</x:v>
      </x:c>
      <x:c r="S146" s="23" t="n">
        <x:v>4260000</x:v>
      </x:c>
      <x:c r="T146" s="24" t="b">
        <x:v>1</x:v>
      </x:c>
      <x:c r="U146" s="24" t="b">
        <x:v>1</x:v>
      </x:c>
      <x:c r="V146" s="25" t="n">
        <x:f>N146+1.5*O146+3*P146+3*Q146</x:f>
        <x:v>35837292</x:v>
      </x:c>
      <x:c r="W146" s="25" t="n">
        <x:f>IF(S146="","",S146*3)</x:f>
        <x:v>12780000</x:v>
      </x:c>
      <x:c r="X146" s="25" t="n">
        <x:f>IF(OR(Z146="No",W146=""),"",V146-W146)</x:f>
        <x:v>23057292</x:v>
      </x:c>
      <x:c r="Y146" s="26" t="n">
        <x:f>IF(OR(Z146="No",W146=""),"",IFERROR(V146/W146,0))</x:f>
        <x:v>2.8041699530516433</x:v>
      </x:c>
      <x:c r="Z146" s="27" t="str">
        <x:f>IF(AND(U146=TRUE,V146=0),"No","Yes")</x:f>
        <x:v>Yes</x:v>
      </x:c>
      <x:c r="AA146" s="27" t="str">
        <x:f>IF(Z146="No","Not comparable",IF(X146="","Unknown cost",IF(X146&gt;0,"Yes","No")))</x:f>
        <x:v>Yes</x:v>
      </x:c>
      <x:c r="AB146" s="20" t="str">
        <x:v>4.26Mn</x:v>
      </x:c>
    </x:row>
    <x:row r="147">
      <x:c r="A147" s="20" t="str">
        <x:v>s150-20261003-17</x:v>
      </x:c>
      <x:c r="B147" s="21" t="d">
        <x:v>2026-10-03T00:00:00.000Z</x:v>
      </x:c>
      <x:c r="C147" s="22" t="n">
        <x:v>150</x:v>
      </x:c>
      <x:c r="D147" s="20" t="str">
        <x:v>PTS scan card</x:v>
      </x:c>
      <x:c r="E147" s="20" t="str">
        <x:v>Rescue</x:v>
      </x:c>
      <x:c r="F147" s="20" t="str">
        <x:v>PvP</x:v>
      </x:c>
      <x:c r="G147" s="23" t="n">
        <x:v>3</x:v>
      </x:c>
      <x:c r="H147" s="23" t="n">
        <x:v>560</x:v>
      </x:c>
      <x:c r="I147" s="23" t="str">
        <x:v>Combat</x:v>
      </x:c>
      <x:c r="J147" s="23" t="n">
        <x:v>2</x:v>
      </x:c>
      <x:c r="K147" s="23" t="n">
        <x:v>54</x:v>
      </x:c>
      <x:c r="L147" s="23" t="n">
        <x:v>8115</x:v>
      </x:c>
      <x:c r="M147" s="20" t="str">
        <x:v>possible</x:v>
      </x:c>
      <x:c r="N147" s="23" t="n">
        <x:v>0</x:v>
      </x:c>
      <x:c r="O147" s="23" t="n">
        <x:v>0</x:v>
      </x:c>
      <x:c r="P147" s="23" t="n">
        <x:v>0</x:v>
      </x:c>
      <x:c r="Q147" s="23" t="n">
        <x:v>0</x:v>
      </x:c>
      <x:c r="R147" s="24" t="b">
        <x:v>0</x:v>
      </x:c>
      <x:c r="S147" s="23" t="n">
        <x:v>6832000</x:v>
      </x:c>
      <x:c r="T147" s="24" t="b">
        <x:v>1</x:v>
      </x:c>
      <x:c r="U147" s="24" t="b">
        <x:v>1</x:v>
      </x:c>
      <x:c r="V147" s="25" t="n">
        <x:f>N147+1.5*O147+3*P147+3*Q147</x:f>
        <x:v>0</x:v>
      </x:c>
      <x:c r="W147" s="25" t="n">
        <x:f>IF(S147="","",S147*3)</x:f>
        <x:v>20496000</x:v>
      </x:c>
      <x:c r="X147" s="25" t="str">
        <x:f>IF(OR(Z147="No",W147=""),"",V147-W147)</x:f>
      </x:c>
      <x:c r="Y147" s="26" t="str">
        <x:f>IF(OR(Z147="No",W147=""),"",IFERROR(V147/W147,0))</x:f>
      </x:c>
      <x:c r="Z147" s="27" t="str">
        <x:f>IF(AND(U147=TRUE,V147=0),"No","Yes")</x:f>
        <x:v>No</x:v>
      </x:c>
      <x:c r="AA147" s="27" t="str">
        <x:f>IF(Z147="No","Not comparable",IF(X147="","Unknown cost",IF(X147&gt;0,"Yes","No")))</x:f>
        <x:v>Not comparable</x:v>
      </x:c>
      <x:c r="AB147" s="20" t="str">
        <x:v>6.832Mn</x:v>
      </x:c>
    </x:row>
    <x:row r="148">
      <x:c r="A148" s="20" t="str">
        <x:v>s150-20261003-18</x:v>
      </x:c>
      <x:c r="B148" s="21" t="d">
        <x:v>2026-10-03T00:00:00.000Z</x:v>
      </x:c>
      <x:c r="C148" s="22" t="n">
        <x:v>150</x:v>
      </x:c>
      <x:c r="D148" s="20" t="str">
        <x:v>PTS scan card</x:v>
      </x:c>
      <x:c r="E148" s="20" t="str">
        <x:v>Rescue</x:v>
      </x:c>
      <x:c r="F148" s="20" t="str">
        <x:v>PvP</x:v>
      </x:c>
      <x:c r="G148" s="23" t="n">
        <x:v>4</x:v>
      </x:c>
      <x:c r="H148" s="23" t="n">
        <x:v>455</x:v>
      </x:c>
      <x:c r="I148" s="23" t="str">
        <x:v>Combat</x:v>
      </x:c>
      <x:c r="J148" s="23" t="n">
        <x:v>1</x:v>
      </x:c>
      <x:c r="K148" s="23" t="n">
        <x:v>28</x:v>
      </x:c>
      <x:c r="L148" s="23" t="n">
        <x:v>7450</x:v>
      </x:c>
      <x:c r="M148" s="20" t="str">
        <x:v>possible</x:v>
      </x:c>
      <x:c r="N148" s="23" t="n">
        <x:v>34654627</x:v>
      </x:c>
      <x:c r="O148" s="23" t="n">
        <x:v>15427424</x:v>
      </x:c>
      <x:c r="P148" s="23" t="n">
        <x:v>4836245</x:v>
      </x:c>
      <x:c r="Q148" s="23" t="n">
        <x:v>0</x:v>
      </x:c>
      <x:c r="R148" s="24" t="b">
        <x:v>1</x:v>
      </x:c>
      <x:c r="S148" s="23" t="n">
        <x:v>3700000</x:v>
      </x:c>
      <x:c r="T148" s="24" t="b">
        <x:v>1</x:v>
      </x:c>
      <x:c r="U148" s="24" t="b">
        <x:v>0</x:v>
      </x:c>
      <x:c r="V148" s="25" t="n">
        <x:f>N148+1.5*O148+3*P148+3*Q148</x:f>
        <x:v>72304498</x:v>
      </x:c>
      <x:c r="W148" s="25" t="n">
        <x:f>IF(S148="","",S148*3)</x:f>
        <x:v>11100000</x:v>
      </x:c>
      <x:c r="X148" s="25" t="n">
        <x:f>IF(OR(Z148="No",W148=""),"",V148-W148)</x:f>
        <x:v>61204498</x:v>
      </x:c>
      <x:c r="Y148" s="26" t="n">
        <x:f>IF(OR(Z148="No",W148=""),"",IFERROR(V148/W148,0))</x:f>
        <x:v>6.513918738738739</x:v>
      </x:c>
      <x:c r="Z148" s="27" t="str">
        <x:f>IF(AND(U148=TRUE,V148=0),"No","Yes")</x:f>
        <x:v>Yes</x:v>
      </x:c>
      <x:c r="AA148" s="27" t="str">
        <x:f>IF(Z148="No","Not comparable",IF(X148="","Unknown cost",IF(X148&gt;0,"Yes","No")))</x:f>
        <x:v>Yes</x:v>
      </x:c>
      <x:c r="AB148" s="20" t="str">
        <x:v>3.7Mn</x:v>
      </x:c>
    </x:row>
    <x:row r="149">
      <x:c r="A149" s="20" t="str">
        <x:v>s150-20261003-19</x:v>
      </x:c>
      <x:c r="B149" s="21" t="d">
        <x:v>2026-10-03T00:00:00.000Z</x:v>
      </x:c>
      <x:c r="C149" s="22" t="n">
        <x:v>150</x:v>
      </x:c>
      <x:c r="D149" s="20" t="str">
        <x:v>PTS scan card</x:v>
      </x:c>
      <x:c r="E149" s="20" t="str">
        <x:v>Alien Encounter</x:v>
      </x:c>
      <x:c r="F149" s="20" t="str">
        <x:v>PvE</x:v>
      </x:c>
      <x:c r="G149" s="23" t="n">
        <x:v>1</x:v>
      </x:c>
      <x:c r="H149" s="23" t="n">
        <x:v>508</x:v>
      </x:c>
      <x:c r="I149" s="23" t="str">
        <x:v>Combat</x:v>
      </x:c>
      <x:c r="J149" s="23" t="n">
        <x:v>9</x:v>
      </x:c>
      <x:c r="K149" s="23" t="n">
        <x:v>242</x:v>
      </x:c>
      <x:c r="L149" s="23" t="n">
        <x:v>10395</x:v>
      </x:c>
      <x:c r="M149" s="20" t="str">
        <x:v>possible</x:v>
      </x:c>
      <x:c r="N149" s="23" t="n">
        <x:v>35248941</x:v>
      </x:c>
      <x:c r="O149" s="23" t="n">
        <x:v>20311288</x:v>
      </x:c>
      <x:c r="P149" s="23" t="n">
        <x:v>10375758</x:v>
      </x:c>
      <x:c r="Q149" s="23" t="n">
        <x:v>0</x:v>
      </x:c>
      <x:c r="R149" s="24" t="b">
        <x:v>1</x:v>
      </x:c>
      <x:c r="S149" s="23" t="n">
        <x:v>9297000</x:v>
      </x:c>
      <x:c r="T149" s="24" t="b">
        <x:v>1</x:v>
      </x:c>
      <x:c r="U149" s="24" t="b">
        <x:v>0</x:v>
      </x:c>
      <x:c r="V149" s="25" t="n">
        <x:f>N149+1.5*O149+3*P149+3*Q149</x:f>
        <x:v>96843147</x:v>
      </x:c>
      <x:c r="W149" s="25" t="n">
        <x:f>IF(S149="","",S149*3)</x:f>
        <x:v>27891000</x:v>
      </x:c>
      <x:c r="X149" s="25" t="n">
        <x:f>IF(OR(Z149="No",W149=""),"",V149-W149)</x:f>
        <x:v>68952147</x:v>
      </x:c>
      <x:c r="Y149" s="26" t="n">
        <x:f>IF(OR(Z149="No",W149=""),"",IFERROR(V149/W149,0))</x:f>
        <x:v>3.4722006023448424</x:v>
      </x:c>
      <x:c r="Z149" s="27" t="str">
        <x:f>IF(AND(U149=TRUE,V149=0),"No","Yes")</x:f>
        <x:v>Yes</x:v>
      </x:c>
      <x:c r="AA149" s="27" t="str">
        <x:f>IF(Z149="No","Not comparable",IF(X149="","Unknown cost",IF(X149&gt;0,"Yes","No")))</x:f>
        <x:v>Yes</x:v>
      </x:c>
      <x:c r="AB149" s="20" t="str">
        <x:v>9.297Mn</x:v>
      </x:c>
    </x:row>
  </x:sheetData>
  <x:conditionalFormatting sqref="X2:X149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80f81adfa440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>
      <x:c r="A1" s="1" t="str">
        <x:v>How to use the Orion mission dataset</x:v>
      </x:c>
    </x:row>
    <x:row r="3">
      <x:c r="A3" s="4" t="str">
        <x:v>Field</x:v>
      </x:c>
      <x:c r="B3" s="4" t="str">
        <x:v>Meaning</x:v>
      </x:c>
    </x:row>
    <x:row r="4" ht="35" customHeight="1">
      <x:c r="A4" s="32" t="str">
        <x:v>Scan reach</x:v>
      </x:c>
      <x:c r="B4" s="32" t="str">
        <x:v>Selected scanner reach in systems. Kept separate from mission-card Distance.</x:v>
      </x:c>
    </x:row>
    <x:row r="5" ht="35" customHeight="1">
      <x:c r="A5" s="32" t="str">
        <x:v>Possible vs collected</x:v>
      </x:c>
      <x:c r="B5" s="32" t="str">
        <x:v>Displayed possible resource rewards have matched collected amounts in completed PTS missions so far. Collected records come from a claim dialog.</x:v>
      </x:c>
    </x:row>
    <x:row r="6" ht="35" customHeight="1">
      <x:c r="A6" s="32" t="str">
        <x:v>Reward MSU</x:v>
      </x:c>
      <x:c r="B6" s="32" t="str">
        <x:v>Metal + 1.5 × Crystal + 3 × Deuterium + 3 × Lithium reward.</x:v>
      </x:c>
    </x:row>
    <x:row r="7" ht="35" customHeight="1">
      <x:c r="A7" s="32" t="str">
        <x:v>Claim cost MSU</x:v>
      </x:c>
      <x:c r="B7" s="32" t="str">
        <x:v>Lithium claim cost × 3 is a common comparison benchmark, based on the observed 3 Metal : 1 Lithium conversion and no CC discount.</x:v>
      </x:c>
    </x:row>
    <x:row r="8" ht="35" customHeight="1">
      <x:c r="A8" s="32" t="str">
        <x:v>Comparable resource value</x:v>
      </x:c>
      <x:c r="B8" s="32" t="str">
        <x:v>No means only a non-resource reward was shown, so resource-only ratio and net are not meaningful.</x:v>
      </x:c>
    </x:row>
    <x:row r="9" ht="35" customHeight="1">
      <x:c r="A9" s="32" t="str">
        <x:v>Data source</x:v>
      </x:c>
      <x:c r="B9" s="32" t="str">
        <x:v>The workbook is generated from data/mission-roi-samples.json in the Orion project. Keep record IDs unique when adding rows.</x:v>
      </x:c>
    </x:row>
    <x:row r="11">
      <x:c r="A11" s="30" t="str">
        <x:v>Research cautions</x:v>
      </x:c>
    </x:row>
    <x:row r="12" ht="34" customHeight="1">
      <x:c r="A12" s="32" t="str">
        <x:v>Reach cohorts are not matched</x:v>
      </x:c>
      <x:c r="B12" s="32" t="str">
        <x:v>Different missions appear in each reach group, so do not infer that higher reach causes higher or lower rewards.</x:v>
      </x:c>
    </x:row>
    <x:row r="13" ht="34" customHeight="1">
      <x:c r="A13" s="32" t="str">
        <x:v>Distance and reach differ</x:v>
      </x:c>
      <x:c r="B13" s="32" t="str">
        <x:v>Distance is taken from the mission card. Scan reach is the selected setting.</x:v>
      </x:c>
    </x:row>
    <x:row r="14" ht="34" customHeight="1">
      <x:c r="A14" s="32" t="str">
        <x:v>Reward-to-cost is not total profit</x:v>
      </x:c>
      <x:c r="B14" s="32" t="str">
        <x:v>Scan costs, time, fleet losses including player attacks on PvP missions, and ships or special rewards are not priced.</x:v>
      </x:c>
    </x:row>
    <x:row r="15" ht="34" customHeight="1">
      <x:c r="A15" s="32" t="str">
        <x:v>Rounded observations</x:v>
      </x:c>
      <x:c r="B15" s="32" t="str">
        <x:v>Approximate card rewards and rounded claim costs are flagged in their source columns.</x:v>
      </x:c>
    </x:row>
    <x:row r="16" ht="34" customHeight="1">
      <x:c r="A16" s="32" t="str">
        <x:v>Obscured values</x:v>
      </x:c>
      <x:c r="B16" s="32" t="str">
        <x:v>If a screenshot hides part of a cost, the numeric field stays blank and the visible text is preserved in the Claim cost display / note column.</x:v>
      </x:c>
    </x:row>
    <x:row r="17" ht="34" customHeight="1">
      <x:c r="A17" s="32" t="str">
        <x:v>Surplus Food route</x:v>
      </x:c>
      <x:c r="B17" s="32" t="str">
        <x:v>After population growth, surplus Food may have little other use. Lithium made from it can cost less than the 3 MSU benchmark; conversion throughput and initial investment still matter.</x:v>
      </x:c>
    </x:row>
  </x:sheetData>
  <x:pageMargins left="0.7" right="0.7" top="0.75" bottom="0.75" header="0.3" footer="0.3"/>
</x:worksheet>
</file>